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2" autoFilterDateGrouping="1"/>
  </bookViews>
  <sheets>
    <sheet name="Entity Coverage Status" sheetId="1" state="visible" r:id="rId1"/>
    <sheet name="Instructions" sheetId="2" state="visible" r:id="rId2"/>
    <sheet name="Metrics Definitions" sheetId="3" state="visible" r:id="rId3"/>
    <sheet name="Test Data" sheetId="4" state="visible" r:id="rId4"/>
    <sheet name="Summary by Importanc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rgb="FF2E75B5"/>
      <sz val="16"/>
    </font>
    <font>
      <name val="Calibri"/>
      <family val="2"/>
      <i val="1"/>
      <sz val="10"/>
    </font>
    <font>
      <name val="Calibri"/>
      <family val="2"/>
      <b val="1"/>
      <color rgb="FF2E75B5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2E75B5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6"/>
    </font>
    <font>
      <name val="Calibri"/>
      <family val="2"/>
      <b val="1"/>
      <color rgb="FFFFFFFF"/>
      <sz val="12"/>
    </font>
    <font>
      <name val="Calibri"/>
      <family val="2"/>
      <sz val="10"/>
    </font>
    <font>
      <name val="Calibri"/>
      <family val="2"/>
      <b val="1"/>
      <color rgb="FFFFFFFF"/>
      <sz val="18"/>
    </font>
    <font>
      <name val="Calibri"/>
      <family val="2"/>
      <b val="1"/>
      <color theme="0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A500"/>
        <bgColor rgb="FFFFA500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1F4E78"/>
        <bgColor rgb="FF1F4E78"/>
      </patternFill>
    </fill>
    <fill>
      <patternFill patternType="solid">
        <fgColor theme="4" tint="-0.249977111117893"/>
        <bgColor rgb="FF70AD47"/>
      </patternFill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00FFFAC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4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9" fillId="2" borderId="0" pivotButton="0" quotePrefix="0" xfId="0"/>
    <xf numFmtId="0" fontId="8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7" borderId="0" pivotButton="0" quotePrefix="0" xfId="0"/>
    <xf numFmtId="0" fontId="4" fillId="7" borderId="1" applyAlignment="1" pivotButton="0" quotePrefix="0" xfId="0">
      <alignment horizontal="center" vertical="center"/>
    </xf>
    <xf numFmtId="0" fontId="12" fillId="0" borderId="0" pivotButton="0" quotePrefix="0" xfId="0"/>
    <xf numFmtId="0" fontId="11" fillId="6" borderId="0" pivotButton="0" quotePrefix="0" xfId="0"/>
    <xf numFmtId="0" fontId="4" fillId="4" borderId="1" applyAlignment="1" pivotButton="0" quotePrefix="0" xfId="0">
      <alignment horizontal="center" vertical="center"/>
    </xf>
    <xf numFmtId="0" fontId="11" fillId="2" borderId="0" pivotButton="0" quotePrefix="0" xfId="0"/>
    <xf numFmtId="0" fontId="4" fillId="0" borderId="1" pivotButton="0" quotePrefix="0" xfId="0"/>
    <xf numFmtId="0" fontId="13" fillId="8" borderId="0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15" fillId="1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6" fillId="11" borderId="1" applyAlignment="1" pivotButton="0" quotePrefix="0" xfId="0">
      <alignment horizontal="left" vertical="top" wrapText="1"/>
    </xf>
    <xf numFmtId="0" fontId="16" fillId="12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left" vertical="top" wrapText="1"/>
    </xf>
    <xf numFmtId="0" fontId="0" fillId="0" borderId="6" applyAlignment="1" pivotButton="0" quotePrefix="0" xfId="0">
      <alignment vertical="top" wrapText="1"/>
    </xf>
    <xf numFmtId="9" fontId="0" fillId="0" borderId="6" applyAlignment="1" pivotButton="0" quotePrefix="0" xfId="0">
      <alignment horizontal="center" vertical="center"/>
    </xf>
    <xf numFmtId="0" fontId="19" fillId="13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opLeftCell="A24" workbookViewId="0">
      <selection activeCell="D35" sqref="D35"/>
    </sheetView>
  </sheetViews>
  <sheetFormatPr baseColWidth="8" defaultRowHeight="14.4"/>
  <cols>
    <col width="28.44140625" customWidth="1" style="17" min="1" max="1"/>
    <col width="30" customWidth="1" style="17" min="2" max="2"/>
    <col width="12" customWidth="1" style="17" min="3" max="4"/>
    <col width="20" customWidth="1" style="17" min="5" max="5"/>
    <col width="18" customWidth="1" style="17" min="6" max="6"/>
    <col width="30" customWidth="1" style="17" min="7" max="7"/>
  </cols>
  <sheetData>
    <row r="1" ht="21" customHeight="1" s="17">
      <c r="A1" s="22" t="inlineStr">
        <is>
          <t>CHAPTER 1 ENTITY COVERAGE - CURRENT STATUS</t>
        </is>
      </c>
    </row>
    <row r="2">
      <c r="A2" s="18" t="inlineStr">
        <is>
          <t>Based on actual entity extraction and coverage analysis</t>
        </is>
      </c>
    </row>
    <row r="4" ht="15.6" customHeight="1" s="17">
      <c r="A4" s="23" t="inlineStr">
        <is>
          <t>✅ COMPLETED ENTITIES (13 entities - 765 mentions)</t>
        </is>
      </c>
    </row>
    <row r="5">
      <c r="A5" s="3" t="inlineStr">
        <is>
          <t>Rank</t>
        </is>
      </c>
      <c r="B5" s="3" t="inlineStr">
        <is>
          <t>Entity</t>
        </is>
      </c>
      <c r="C5" s="3" t="inlineStr">
        <is>
          <t>Mentions</t>
        </is>
      </c>
      <c r="D5" s="3" t="inlineStr">
        <is>
          <t>Sections</t>
        </is>
      </c>
      <c r="E5" s="3" t="inlineStr">
        <is>
          <t>Entity Type</t>
        </is>
      </c>
      <c r="F5" s="3" t="inlineStr">
        <is>
          <t>Status</t>
        </is>
      </c>
      <c r="G5" s="3" t="inlineStr">
        <is>
          <t>Script/Method</t>
        </is>
      </c>
    </row>
    <row r="6">
      <c r="A6" s="4" t="n">
        <v>1</v>
      </c>
      <c r="B6" s="4" t="inlineStr">
        <is>
          <t>DSCA</t>
        </is>
      </c>
      <c r="C6" s="4" t="n">
        <v>451</v>
      </c>
      <c r="D6" s="4" t="n">
        <v>10</v>
      </c>
      <c r="E6" s="4" t="inlineStr">
        <is>
          <t>ORGANIZATION</t>
        </is>
      </c>
      <c r="F6" s="24" t="inlineStr">
        <is>
          <t>✅ Done manually</t>
        </is>
      </c>
      <c r="G6" s="4" t="inlineStr">
        <is>
          <t>Manual</t>
        </is>
      </c>
    </row>
    <row r="7">
      <c r="A7" s="4" t="n">
        <v>2</v>
      </c>
      <c r="B7" s="4" t="inlineStr">
        <is>
          <t>Secretary of Defense</t>
        </is>
      </c>
      <c r="C7" s="4" t="n">
        <v>421</v>
      </c>
      <c r="D7" s="4" t="n">
        <v>7</v>
      </c>
      <c r="E7" s="4" t="inlineStr">
        <is>
          <t>ROLE</t>
        </is>
      </c>
      <c r="F7" s="24" t="inlineStr">
        <is>
          <t>✅ Done</t>
        </is>
      </c>
      <c r="G7" s="4" t="inlineStr">
        <is>
          <t>Script 1</t>
        </is>
      </c>
    </row>
    <row r="8">
      <c r="A8" s="4" t="n">
        <v>3</v>
      </c>
      <c r="B8" s="4" t="inlineStr">
        <is>
          <t>USD(P)</t>
        </is>
      </c>
      <c r="C8" s="4" t="n">
        <v>38</v>
      </c>
      <c r="D8" s="4" t="n">
        <v>7</v>
      </c>
      <c r="E8" s="4" t="inlineStr">
        <is>
          <t>ROLE</t>
        </is>
      </c>
      <c r="F8" s="24" t="inlineStr">
        <is>
          <t>✅ Done</t>
        </is>
      </c>
      <c r="G8" s="4" t="inlineStr">
        <is>
          <t>In ecosystem</t>
        </is>
      </c>
    </row>
    <row r="9">
      <c r="A9" s="4" t="n">
        <v>4</v>
      </c>
      <c r="B9" s="4" t="inlineStr">
        <is>
          <t>Secretary of State</t>
        </is>
      </c>
      <c r="C9" s="4" t="n">
        <v>35</v>
      </c>
      <c r="D9" s="4" t="n">
        <v>8</v>
      </c>
      <c r="E9" s="4" t="inlineStr">
        <is>
          <t>ROLE</t>
        </is>
      </c>
      <c r="F9" s="24" t="inlineStr">
        <is>
          <t>✅ Done</t>
        </is>
      </c>
      <c r="G9" s="4" t="inlineStr">
        <is>
          <t>In ecosystem</t>
        </is>
      </c>
    </row>
    <row r="10">
      <c r="A10" s="4" t="n">
        <v>5</v>
      </c>
      <c r="B10" s="4" t="inlineStr">
        <is>
          <t>Department of State</t>
        </is>
      </c>
      <c r="C10" s="4" t="n">
        <v>28</v>
      </c>
      <c r="D10" s="4" t="n">
        <v>3</v>
      </c>
      <c r="E10" s="4" t="inlineStr">
        <is>
          <t>ORGANIZATION</t>
        </is>
      </c>
      <c r="F10" s="24" t="inlineStr">
        <is>
          <t>✅ Done</t>
        </is>
      </c>
      <c r="G10" s="4" t="inlineStr">
        <is>
          <t>In ecosystem</t>
        </is>
      </c>
    </row>
    <row r="11">
      <c r="A11" s="4" t="n">
        <v>6</v>
      </c>
      <c r="B11" s="4" t="inlineStr">
        <is>
          <t>DoD</t>
        </is>
      </c>
      <c r="C11" s="4" t="n">
        <v>156</v>
      </c>
      <c r="D11" s="4" t="n">
        <v>17</v>
      </c>
      <c r="E11" s="4" t="inlineStr">
        <is>
          <t>ORGANIZATION</t>
        </is>
      </c>
      <c r="F11" s="24" t="inlineStr">
        <is>
          <t>✅ Done</t>
        </is>
      </c>
      <c r="G11" s="4" t="inlineStr">
        <is>
          <t>Script 0</t>
        </is>
      </c>
    </row>
    <row r="12">
      <c r="A12" s="4" t="n">
        <v>7</v>
      </c>
      <c r="B12" s="4" t="inlineStr">
        <is>
          <t>Security Cooperation</t>
        </is>
      </c>
      <c r="C12" s="4" t="n">
        <v>112</v>
      </c>
      <c r="D12" s="4" t="n">
        <v>21</v>
      </c>
      <c r="E12" s="4" t="inlineStr">
        <is>
          <t>CONCEPT</t>
        </is>
      </c>
      <c r="F12" s="24" t="inlineStr">
        <is>
          <t>✅ Done</t>
        </is>
      </c>
      <c r="G12" s="4" t="inlineStr">
        <is>
          <t>Script 1</t>
        </is>
      </c>
    </row>
    <row r="13">
      <c r="A13" s="4" t="n">
        <v>8</v>
      </c>
      <c r="B13" s="4" t="inlineStr">
        <is>
          <t>Security Assistance</t>
        </is>
      </c>
      <c r="C13" s="4" t="n">
        <v>87</v>
      </c>
      <c r="D13" s="4" t="n">
        <v>15</v>
      </c>
      <c r="E13" s="4" t="inlineStr">
        <is>
          <t>PROGRAM</t>
        </is>
      </c>
      <c r="F13" s="24" t="inlineStr">
        <is>
          <t>✅ Done</t>
        </is>
      </c>
      <c r="G13" s="4" t="inlineStr">
        <is>
          <t>Script 1</t>
        </is>
      </c>
    </row>
    <row r="14">
      <c r="A14" s="4" t="n">
        <v>9</v>
      </c>
      <c r="B14" s="4" t="inlineStr">
        <is>
          <t>FMS</t>
        </is>
      </c>
      <c r="C14" s="4" t="n">
        <v>24</v>
      </c>
      <c r="D14" s="4" t="n">
        <v>6</v>
      </c>
      <c r="E14" s="4" t="inlineStr">
        <is>
          <t>PROGRAM</t>
        </is>
      </c>
      <c r="F14" s="24" t="inlineStr">
        <is>
          <t>✅ Done</t>
        </is>
      </c>
      <c r="G14" s="4" t="inlineStr">
        <is>
          <t>Script 2</t>
        </is>
      </c>
    </row>
    <row r="15">
      <c r="A15" s="4" t="n">
        <v>10</v>
      </c>
      <c r="B15" s="4" t="inlineStr">
        <is>
          <t>Combatant Commands</t>
        </is>
      </c>
      <c r="C15" s="4" t="n">
        <v>22</v>
      </c>
      <c r="D15" s="4" t="n">
        <v>4</v>
      </c>
      <c r="E15" s="4" t="inlineStr">
        <is>
          <t>ORGANIZATION</t>
        </is>
      </c>
      <c r="F15" s="24" t="inlineStr">
        <is>
          <t>✅ Done</t>
        </is>
      </c>
      <c r="G15" s="4" t="inlineStr">
        <is>
          <t>Script 2</t>
        </is>
      </c>
    </row>
    <row r="16">
      <c r="A16" s="4" t="n">
        <v>11</v>
      </c>
      <c r="B16" s="4" t="inlineStr">
        <is>
          <t>Military Departments</t>
        </is>
      </c>
      <c r="C16" s="4" t="n">
        <v>18</v>
      </c>
      <c r="D16" s="4" t="n">
        <v>5</v>
      </c>
      <c r="E16" s="4" t="inlineStr">
        <is>
          <t>ORGANIZATION</t>
        </is>
      </c>
      <c r="F16" s="24" t="inlineStr">
        <is>
          <t>✅ Done</t>
        </is>
      </c>
      <c r="G16" s="4" t="inlineStr">
        <is>
          <t>Script 2</t>
        </is>
      </c>
    </row>
    <row r="17">
      <c r="A17" s="4" t="n">
        <v>12</v>
      </c>
      <c r="B17" s="4" t="inlineStr">
        <is>
          <t>USD(A&amp;S)</t>
        </is>
      </c>
      <c r="C17" s="4" t="n">
        <v>21</v>
      </c>
      <c r="D17" s="4" t="n">
        <v>6</v>
      </c>
      <c r="E17" s="4" t="inlineStr">
        <is>
          <t>ROLE</t>
        </is>
      </c>
      <c r="F17" s="24" t="inlineStr">
        <is>
          <t>✅ Done</t>
        </is>
      </c>
      <c r="G17" s="4" t="inlineStr">
        <is>
          <t>Script 2</t>
        </is>
      </c>
    </row>
    <row r="18">
      <c r="A18" s="4" t="n">
        <v>13</v>
      </c>
      <c r="B18" s="4" t="inlineStr">
        <is>
          <t>FAA</t>
        </is>
      </c>
      <c r="C18" s="4" t="n">
        <v>19</v>
      </c>
      <c r="D18" s="4" t="n">
        <v>5</v>
      </c>
      <c r="E18" s="4" t="inlineStr">
        <is>
          <t>LEGISLATION</t>
        </is>
      </c>
      <c r="F18" s="24" t="inlineStr">
        <is>
          <t>✅ Done</t>
        </is>
      </c>
      <c r="G18" s="4" t="inlineStr">
        <is>
          <t>Script 2</t>
        </is>
      </c>
    </row>
    <row r="19">
      <c r="A19" s="2" t="inlineStr">
        <is>
          <t>COMPLETED SUMMARY:</t>
        </is>
      </c>
      <c r="B19" s="25" t="inlineStr">
        <is>
          <t>13 entities | 765 total mentions | All validated ✅</t>
        </is>
      </c>
    </row>
    <row r="21" ht="15.6" customHeight="1" s="17">
      <c r="A21" s="26" t="inlineStr">
        <is>
          <t>🔄 REMAINING ENTITIES (7 entities - 98 mentions)</t>
        </is>
      </c>
    </row>
    <row r="22">
      <c r="A22" s="3" t="inlineStr">
        <is>
          <t>Rank</t>
        </is>
      </c>
      <c r="B22" s="3" t="inlineStr">
        <is>
          <t>Entity</t>
        </is>
      </c>
      <c r="C22" s="3" t="inlineStr">
        <is>
          <t>Mentions</t>
        </is>
      </c>
      <c r="D22" s="3" t="inlineStr">
        <is>
          <t>Sections</t>
        </is>
      </c>
      <c r="E22" s="3" t="inlineStr">
        <is>
          <t>Entity Type</t>
        </is>
      </c>
      <c r="F22" s="3" t="inlineStr">
        <is>
          <t>Priority</t>
        </is>
      </c>
      <c r="G22" s="3" t="inlineStr">
        <is>
          <t>Notes</t>
        </is>
      </c>
    </row>
    <row r="23">
      <c r="A23" s="4" t="n">
        <v>14</v>
      </c>
      <c r="B23" s="4" t="inlineStr">
        <is>
          <t>AECA</t>
        </is>
      </c>
      <c r="C23" s="4" t="n">
        <v>17</v>
      </c>
      <c r="D23" s="4" t="n">
        <v>6</v>
      </c>
      <c r="E23" s="4" t="inlineStr">
        <is>
          <t>LEGISLATION</t>
        </is>
      </c>
      <c r="F23" s="27" t="inlineStr">
        <is>
          <t>🎯 High</t>
        </is>
      </c>
      <c r="G23" s="4" t="inlineStr">
        <is>
          <t>Arms Export Control Act</t>
        </is>
      </c>
    </row>
    <row r="24">
      <c r="A24" s="4" t="n">
        <v>15</v>
      </c>
      <c r="B24" s="4" t="inlineStr">
        <is>
          <t>DoD Directive 5105.65</t>
        </is>
      </c>
      <c r="C24" s="4" t="n">
        <v>16</v>
      </c>
      <c r="D24" s="4" t="n">
        <v>2</v>
      </c>
      <c r="E24" s="4" t="inlineStr">
        <is>
          <t>LEGISLATION</t>
        </is>
      </c>
      <c r="F24" s="27" t="inlineStr">
        <is>
          <t>🎯 High</t>
        </is>
      </c>
      <c r="G24" s="4" t="inlineStr">
        <is>
          <t>DSCA charter</t>
        </is>
      </c>
    </row>
    <row r="25">
      <c r="A25" s="4" t="n">
        <v>16</v>
      </c>
      <c r="B25" s="4" t="inlineStr">
        <is>
          <t>DoD Directive 5132.03</t>
        </is>
      </c>
      <c r="C25" s="4" t="n">
        <v>15</v>
      </c>
      <c r="D25" s="4" t="n">
        <v>6</v>
      </c>
      <c r="E25" s="4" t="inlineStr">
        <is>
          <t>LEGISLATION</t>
        </is>
      </c>
      <c r="F25" s="27" t="inlineStr">
        <is>
          <t>🎯 High</t>
        </is>
      </c>
      <c r="G25" s="4" t="inlineStr">
        <is>
          <t>DoD SC Policy</t>
        </is>
      </c>
    </row>
    <row r="26">
      <c r="A26" s="4" t="n">
        <v>17</v>
      </c>
      <c r="B26" s="4" t="inlineStr">
        <is>
          <t>Executive Order 13637</t>
        </is>
      </c>
      <c r="C26" s="4" t="n">
        <v>14</v>
      </c>
      <c r="D26" s="4" t="n">
        <v>2</v>
      </c>
      <c r="E26" s="4" t="inlineStr">
        <is>
          <t>LEGISLATION</t>
        </is>
      </c>
      <c r="F26" s="8" t="inlineStr">
        <is>
          <t>Medium</t>
        </is>
      </c>
      <c r="G26" s="4" t="inlineStr">
        <is>
          <t>Delegation of authority</t>
        </is>
      </c>
    </row>
    <row r="27">
      <c r="A27" s="4" t="n">
        <v>18</v>
      </c>
      <c r="B27" s="4" t="inlineStr">
        <is>
          <t>Implementing Agencies</t>
        </is>
      </c>
      <c r="C27" s="4" t="n">
        <v>13</v>
      </c>
      <c r="D27" s="4" t="n">
        <v>5</v>
      </c>
      <c r="E27" s="4" t="inlineStr">
        <is>
          <t>ORGANIZATION</t>
        </is>
      </c>
      <c r="F27" s="8" t="inlineStr">
        <is>
          <t>Medium</t>
        </is>
      </c>
      <c r="G27" s="4" t="inlineStr">
        <is>
          <t>IAs (DCMA, DISA, etc.)</t>
        </is>
      </c>
    </row>
    <row r="28">
      <c r="A28" s="4" t="n">
        <v>19</v>
      </c>
      <c r="B28" s="4" t="inlineStr">
        <is>
          <t>Joint Chiefs of Staff</t>
        </is>
      </c>
      <c r="C28" s="4" t="n">
        <v>12</v>
      </c>
      <c r="D28" s="4" t="n">
        <v>3</v>
      </c>
      <c r="E28" s="4" t="inlineStr">
        <is>
          <t>ORGANIZATION</t>
        </is>
      </c>
      <c r="F28" s="8" t="inlineStr">
        <is>
          <t>Medium</t>
        </is>
      </c>
      <c r="G28" s="4" t="inlineStr">
        <is>
          <t>CJCS organization</t>
        </is>
      </c>
    </row>
    <row r="29">
      <c r="A29" s="4" t="n">
        <v>20</v>
      </c>
      <c r="B29" s="4" t="inlineStr">
        <is>
          <t>Deputy Secretary of Defense</t>
        </is>
      </c>
      <c r="C29" s="4" t="n">
        <v>11</v>
      </c>
      <c r="D29" s="4" t="n">
        <v>1</v>
      </c>
      <c r="E29" s="4" t="inlineStr">
        <is>
          <t>ROLE</t>
        </is>
      </c>
      <c r="F29" s="8" t="inlineStr">
        <is>
          <t>Medium</t>
        </is>
      </c>
      <c r="G29" s="4" t="inlineStr">
        <is>
          <t>DEPSECDEF</t>
        </is>
      </c>
    </row>
    <row r="30">
      <c r="A30" s="2" t="inlineStr">
        <is>
          <t>REMAINING SUMMARY:</t>
        </is>
      </c>
      <c r="B30" s="25" t="inlineStr">
        <is>
          <t>7 entities | 98 total mentions | 3 High Priority 🎯 | 4 Medium Priority</t>
        </is>
      </c>
    </row>
    <row r="32" ht="15.6" customHeight="1" s="17">
      <c r="A32" s="28" t="inlineStr">
        <is>
          <t>📊 OVERALL COVERAGE</t>
        </is>
      </c>
    </row>
    <row r="33">
      <c r="A33" s="29" t="inlineStr">
        <is>
          <t>Total Top 20 Entities</t>
        </is>
      </c>
      <c r="B33" s="29" t="inlineStr">
        <is>
          <t>20</t>
        </is>
      </c>
      <c r="C33" s="29" t="n"/>
      <c r="D33" s="2" t="n"/>
      <c r="E33" s="2" t="n"/>
      <c r="F33" s="2" t="n"/>
      <c r="G33" s="2" t="n"/>
    </row>
    <row r="34">
      <c r="A34" s="29" t="inlineStr">
        <is>
          <t>Completed</t>
        </is>
      </c>
      <c r="B34" s="29" t="inlineStr">
        <is>
          <t>13 (65%)</t>
        </is>
      </c>
      <c r="C34" s="29" t="inlineStr">
        <is>
          <t>765 mentions</t>
        </is>
      </c>
      <c r="D34" s="2" t="inlineStr">
        <is>
          <t>✅ completed</t>
        </is>
      </c>
      <c r="E34" s="2" t="n"/>
      <c r="F34" s="2" t="n"/>
      <c r="G34" s="2" t="n"/>
    </row>
    <row r="35">
      <c r="A35" s="29" t="inlineStr">
        <is>
          <t>Remaining</t>
        </is>
      </c>
      <c r="B35" s="29" t="inlineStr">
        <is>
          <t>7 (35%)</t>
        </is>
      </c>
      <c r="C35" s="29" t="inlineStr">
        <is>
          <t>98 mentions</t>
        </is>
      </c>
      <c r="D35" s="2" t="inlineStr">
        <is>
          <t>✅ completed</t>
        </is>
      </c>
      <c r="E35" s="2" t="n"/>
      <c r="F35" s="2" t="n"/>
      <c r="G35" s="2" t="n"/>
    </row>
    <row r="36">
      <c r="A36" s="10" t="n"/>
      <c r="B36" s="10" t="n"/>
      <c r="C36" s="10" t="n"/>
    </row>
    <row r="37">
      <c r="A37" s="10" t="inlineStr">
        <is>
          <t>Coverage by Type:</t>
        </is>
      </c>
      <c r="B37" s="10" t="n"/>
      <c r="C37" s="10" t="n"/>
    </row>
    <row r="38">
      <c r="A38" s="10" t="inlineStr">
        <is>
          <t>ORGANIZATION</t>
        </is>
      </c>
      <c r="B38" s="10" t="inlineStr">
        <is>
          <t>5 completed + 2 remaining</t>
        </is>
      </c>
      <c r="C38" s="10" t="inlineStr">
        <is>
          <t>7 total</t>
        </is>
      </c>
    </row>
    <row r="39">
      <c r="A39" s="10" t="inlineStr">
        <is>
          <t>ROLE</t>
        </is>
      </c>
      <c r="B39" s="10" t="inlineStr">
        <is>
          <t>4 completed + 1 remaining</t>
        </is>
      </c>
      <c r="C39" s="10" t="inlineStr">
        <is>
          <t>5 total</t>
        </is>
      </c>
    </row>
    <row r="40">
      <c r="A40" s="10" t="inlineStr">
        <is>
          <t>LEGISLATION</t>
        </is>
      </c>
      <c r="B40" s="10" t="inlineStr">
        <is>
          <t>1 completed + 4 remaining</t>
        </is>
      </c>
      <c r="C40" s="10" t="inlineStr">
        <is>
          <t>5 total</t>
        </is>
      </c>
    </row>
    <row r="41">
      <c r="A41" s="10" t="inlineStr">
        <is>
          <t>PROGRAM</t>
        </is>
      </c>
      <c r="B41" s="10" t="inlineStr">
        <is>
          <t>2 completed</t>
        </is>
      </c>
      <c r="C41" s="10" t="inlineStr">
        <is>
          <t>2 total</t>
        </is>
      </c>
    </row>
    <row r="42">
      <c r="A42" s="10" t="inlineStr">
        <is>
          <t>CONCEPT</t>
        </is>
      </c>
      <c r="B42" s="10" t="inlineStr">
        <is>
          <t>1 completed</t>
        </is>
      </c>
      <c r="C42" s="10" t="inlineStr">
        <is>
          <t>1 total</t>
        </is>
      </c>
    </row>
  </sheetData>
  <mergeCells count="7">
    <mergeCell ref="A32:G32"/>
    <mergeCell ref="B19:G19"/>
    <mergeCell ref="A1:G1"/>
    <mergeCell ref="A21:G21"/>
    <mergeCell ref="A4:G4"/>
    <mergeCell ref="A2:G2"/>
    <mergeCell ref="B30:G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topLeftCell="A15" workbookViewId="0">
      <selection activeCell="A1" sqref="A1:C1"/>
    </sheetView>
  </sheetViews>
  <sheetFormatPr baseColWidth="8" defaultRowHeight="14.4"/>
  <cols>
    <col width="50" customWidth="1" style="17" min="1" max="1"/>
    <col width="40" customWidth="1" style="17" min="2" max="2"/>
    <col width="30" customWidth="1" style="17" min="3" max="3"/>
  </cols>
  <sheetData>
    <row r="1" ht="21" customHeight="1" s="17">
      <c r="A1" s="16" t="inlineStr">
        <is>
          <t>ENTITY EXTRACTION TESTING - TOP 20 IMPORTANT ENTITIES</t>
        </is>
      </c>
    </row>
    <row r="2">
      <c r="A2" s="18" t="inlineStr">
        <is>
          <t>Based on mention frequency - Most important entities to test first</t>
        </is>
      </c>
    </row>
    <row r="5">
      <c r="A5" s="1" t="inlineStr">
        <is>
          <t>TOP 20 ENTITIES BY IMPORTANCE (Mention Count)</t>
        </is>
      </c>
    </row>
    <row r="7">
      <c r="A7" t="inlineStr">
        <is>
          <t>CRITICAL Priority (400+ mentions):</t>
        </is>
      </c>
    </row>
    <row r="8">
      <c r="A8" s="2" t="inlineStr">
        <is>
          <t>1. DSCA - 451 mentions (10 sections)</t>
        </is>
      </c>
      <c r="B8" t="inlineStr">
        <is>
          <t>ORGANIZATION</t>
        </is>
      </c>
      <c r="C8" t="inlineStr">
        <is>
          <t>Top priority!</t>
        </is>
      </c>
    </row>
    <row r="9">
      <c r="A9" s="2" t="inlineStr">
        <is>
          <t>2. Secretary of Defense - 421 mentions (7 sections)</t>
        </is>
      </c>
      <c r="B9" t="inlineStr">
        <is>
          <t>ROLE</t>
        </is>
      </c>
      <c r="C9" t="inlineStr">
        <is>
          <t>Critical role</t>
        </is>
      </c>
    </row>
    <row r="11">
      <c r="A11" t="inlineStr">
        <is>
          <t>VERY HIGH Priority (100-200 mentions):</t>
        </is>
      </c>
    </row>
    <row r="12">
      <c r="A12" s="2" t="inlineStr">
        <is>
          <t>3. DoD - 156 mentions</t>
        </is>
      </c>
      <c r="B12" t="inlineStr">
        <is>
          <t>ORGANIZATION</t>
        </is>
      </c>
    </row>
    <row r="13">
      <c r="A13" t="inlineStr">
        <is>
          <t>4. Security Cooperation - 112 mentions</t>
        </is>
      </c>
      <c r="B13" t="inlineStr">
        <is>
          <t>CONCEPT</t>
        </is>
      </c>
    </row>
    <row r="15">
      <c r="A15" t="inlineStr">
        <is>
          <t>HIGH Priority (20-99 mentions):</t>
        </is>
      </c>
    </row>
    <row r="16">
      <c r="A16" t="inlineStr">
        <is>
          <t>5. Security Assistance - 87 mentions</t>
        </is>
      </c>
      <c r="B16" t="inlineStr">
        <is>
          <t>PROGRAM</t>
        </is>
      </c>
    </row>
    <row r="17">
      <c r="A17" t="inlineStr">
        <is>
          <t>6. USD(P) - 38 mentions</t>
        </is>
      </c>
      <c r="B17" t="inlineStr">
        <is>
          <t>ROLE</t>
        </is>
      </c>
    </row>
    <row r="18">
      <c r="A18" t="inlineStr">
        <is>
          <t>7. Secretary of State - 35 mentions</t>
        </is>
      </c>
      <c r="B18" t="inlineStr">
        <is>
          <t>ROLE</t>
        </is>
      </c>
    </row>
    <row r="19">
      <c r="A19" t="inlineStr">
        <is>
          <t>8. Department of State - 28 mentions</t>
        </is>
      </c>
      <c r="B19" t="inlineStr">
        <is>
          <t>ORGANIZATION</t>
        </is>
      </c>
    </row>
    <row r="20">
      <c r="A20" t="inlineStr">
        <is>
          <t>9. FMS - 24 mentions</t>
        </is>
      </c>
      <c r="B20" t="inlineStr">
        <is>
          <t>PROGRAM</t>
        </is>
      </c>
    </row>
    <row r="21">
      <c r="A21" t="inlineStr">
        <is>
          <t>10. Combatant Commands - 22 mentions</t>
        </is>
      </c>
      <c r="B21" t="inlineStr">
        <is>
          <t>ORGANIZATION</t>
        </is>
      </c>
    </row>
    <row r="22">
      <c r="A22" t="inlineStr">
        <is>
          <t>11. USD(A&amp;S) - 21 mentions</t>
        </is>
      </c>
      <c r="B22" t="inlineStr">
        <is>
          <t>ROLE</t>
        </is>
      </c>
    </row>
    <row r="23">
      <c r="A23" t="inlineStr">
        <is>
          <t>12. FAA - 19 mentions</t>
        </is>
      </c>
      <c r="B23" t="inlineStr">
        <is>
          <t>LEGISLATION</t>
        </is>
      </c>
    </row>
    <row r="24">
      <c r="A24" t="inlineStr">
        <is>
          <t>13. Military Departments - 18 mentions</t>
        </is>
      </c>
      <c r="B24" t="inlineStr">
        <is>
          <t>ORGANIZATION</t>
        </is>
      </c>
    </row>
    <row r="25">
      <c r="A25" t="inlineStr">
        <is>
          <t>14. AECA - 17 mentions</t>
        </is>
      </c>
      <c r="B25" t="inlineStr">
        <is>
          <t>LEGISLATION</t>
        </is>
      </c>
    </row>
    <row r="27">
      <c r="A27" t="inlineStr">
        <is>
          <t>MEDIUM Priority (10-16 mentions):</t>
        </is>
      </c>
    </row>
    <row r="28">
      <c r="A28" t="inlineStr">
        <is>
          <t>15. DoD Directive 5105.65 - 16 mentions</t>
        </is>
      </c>
      <c r="B28" t="inlineStr">
        <is>
          <t>LEGISLATION</t>
        </is>
      </c>
    </row>
    <row r="29">
      <c r="A29" t="inlineStr">
        <is>
          <t>16. DoD Directive 5132.03 - 15 mentions</t>
        </is>
      </c>
      <c r="B29" t="inlineStr">
        <is>
          <t>LEGISLATION</t>
        </is>
      </c>
    </row>
    <row r="30">
      <c r="A30" t="inlineStr">
        <is>
          <t>17. Executive Order 13637 - 14 mentions</t>
        </is>
      </c>
      <c r="B30" t="inlineStr">
        <is>
          <t>LEGISLATION</t>
        </is>
      </c>
    </row>
    <row r="31">
      <c r="A31" t="inlineStr">
        <is>
          <t>18. Implementing Agencies - 13 mentions</t>
        </is>
      </c>
      <c r="B31" t="inlineStr">
        <is>
          <t>ORGANIZATION</t>
        </is>
      </c>
    </row>
    <row r="32">
      <c r="A32" t="inlineStr">
        <is>
          <t>19. Joint Chiefs of Staff - 12 mentions</t>
        </is>
      </c>
      <c r="B32" t="inlineStr">
        <is>
          <t>ORGANIZATION</t>
        </is>
      </c>
    </row>
    <row r="33">
      <c r="A33" t="inlineStr">
        <is>
          <t>20. Deputy Secretary of Defense - 11 mentions</t>
        </is>
      </c>
      <c r="B33" t="inlineStr">
        <is>
          <t>ROLE</t>
        </is>
      </c>
    </row>
    <row r="35">
      <c r="A35" t="inlineStr">
        <is>
          <t>TOTAL: 863 mentions across top 20 entities</t>
        </is>
      </c>
    </row>
    <row r="37">
      <c r="A37" s="1" t="inlineStr">
        <is>
          <t>TESTING APPROACH:</t>
        </is>
      </c>
    </row>
    <row r="39">
      <c r="A39" s="2" t="inlineStr">
        <is>
          <t>✅ Test ALL 20 entities</t>
        </is>
      </c>
      <c r="B39" t="inlineStr">
        <is>
          <t>Everyone gets tested</t>
        </is>
      </c>
    </row>
    <row r="40">
      <c r="A40" s="2" t="inlineStr">
        <is>
          <t>🎯 Priority by mention count</t>
        </is>
      </c>
      <c r="B40" t="inlineStr">
        <is>
          <t>More mentions = more important</t>
        </is>
      </c>
    </row>
    <row r="41">
      <c r="A41" s="2" t="inlineStr">
        <is>
          <t>📊 100 test questions total</t>
        </is>
      </c>
      <c r="B41" t="inlineStr">
        <is>
          <t>Comprehensive coverage</t>
        </is>
      </c>
    </row>
    <row r="43">
      <c r="A43" t="inlineStr">
        <is>
          <t>Question Distribution:</t>
        </is>
      </c>
    </row>
    <row r="44">
      <c r="A44" t="inlineStr">
        <is>
          <t>• Critical (DSCA, SECDEF): 30 questions</t>
        </is>
      </c>
      <c r="B44" t="inlineStr">
        <is>
          <t>451+421 = 872 mentions</t>
        </is>
      </c>
    </row>
    <row r="45">
      <c r="A45" t="inlineStr">
        <is>
          <t>• Very High (DoD, SC): 20 questions</t>
        </is>
      </c>
      <c r="B45" t="inlineStr">
        <is>
          <t>156+112 = 268 mentions</t>
        </is>
      </c>
    </row>
    <row r="46">
      <c r="A46" t="inlineStr">
        <is>
          <t>• High (SA through AECA): 30 questions</t>
        </is>
      </c>
      <c r="B46" t="inlineStr">
        <is>
          <t>10 entities</t>
        </is>
      </c>
    </row>
    <row r="47">
      <c r="A47" t="inlineStr">
        <is>
          <t>• Medium (DoDD through DEPSECDEF): 20 questions</t>
        </is>
      </c>
      <c r="B47" t="inlineStr">
        <is>
          <t>6 entities</t>
        </is>
      </c>
    </row>
    <row r="49">
      <c r="A49" s="1" t="inlineStr">
        <is>
          <t>METRICS &amp; TARGETS:</t>
        </is>
      </c>
    </row>
    <row r="51">
      <c r="A51" t="inlineStr">
        <is>
          <t>Precision</t>
        </is>
      </c>
      <c r="B51" t="inlineStr">
        <is>
          <t>≥ 90%</t>
        </is>
      </c>
      <c r="C51" t="inlineStr">
        <is>
          <t>Of extracted, how many correct</t>
        </is>
      </c>
    </row>
    <row r="52">
      <c r="A52" t="inlineStr">
        <is>
          <t>Recall</t>
        </is>
      </c>
      <c r="B52" t="inlineStr">
        <is>
          <t>≥ 85%</t>
        </is>
      </c>
      <c r="C52" t="inlineStr">
        <is>
          <t>Of expected, how many found</t>
        </is>
      </c>
    </row>
    <row r="53">
      <c r="A53" t="inlineStr">
        <is>
          <t>F1 Score</t>
        </is>
      </c>
      <c r="B53" t="inlineStr">
        <is>
          <t>≥ 85%</t>
        </is>
      </c>
      <c r="C53" t="inlineStr">
        <is>
          <t>Current: 82% (Need +3%)</t>
        </is>
      </c>
    </row>
    <row r="54">
      <c r="A54" t="inlineStr">
        <is>
          <t>Hallucination Rate</t>
        </is>
      </c>
      <c r="B54" t="inlineStr">
        <is>
          <t>≤ 10%</t>
        </is>
      </c>
      <c r="C54" t="inlineStr">
        <is>
          <t>Current: 12% (Need -2%)</t>
        </is>
      </c>
    </row>
    <row r="56">
      <c r="A56" s="1" t="inlineStr">
        <is>
          <t>HOW TO USE:</t>
        </is>
      </c>
    </row>
    <row r="58">
      <c r="A58" s="2" t="inlineStr">
        <is>
          <t>1. Test Data Sheet</t>
        </is>
      </c>
      <c r="B58" t="inlineStr">
        <is>
          <t>100 questions pre-loaded</t>
        </is>
      </c>
    </row>
    <row r="59">
      <c r="A59" s="2" t="inlineStr">
        <is>
          <t>2. Fill columns G-Q after testing</t>
        </is>
      </c>
      <c r="B59" t="inlineStr">
        <is>
          <t>Actual results</t>
        </is>
      </c>
    </row>
    <row r="60">
      <c r="A60" s="2" t="inlineStr">
        <is>
          <t>3. Check Summary Dashboard</t>
        </is>
      </c>
      <c r="B60" t="inlineStr">
        <is>
          <t>Auto-calculated metrics</t>
        </is>
      </c>
    </row>
    <row r="61">
      <c r="A61" t="inlineStr">
        <is>
          <t>4. Review by Importance</t>
        </is>
      </c>
      <c r="B61" t="inlineStr">
        <is>
          <t>Focus on high-mention entities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tabSelected="1" zoomScale="85" zoomScaleNormal="85" workbookViewId="0">
      <selection activeCell="G85" sqref="G85"/>
    </sheetView>
  </sheetViews>
  <sheetFormatPr baseColWidth="8" defaultRowHeight="14.4"/>
  <cols>
    <col width="15" customWidth="1" style="17" min="1" max="1"/>
    <col width="30" customWidth="1" style="17" min="2" max="2"/>
    <col width="15" customWidth="1" style="17" min="3" max="3"/>
    <col width="59.33203125" customWidth="1" style="17" min="4" max="4"/>
  </cols>
  <sheetData>
    <row r="1" ht="30" customHeight="1" s="17">
      <c r="A1" s="30" t="inlineStr">
        <is>
          <t>METRICS DEFINITIONS &amp; CALCULATION METHODS</t>
        </is>
      </c>
    </row>
    <row r="3" ht="25.2" customHeight="1" s="17">
      <c r="A3" s="31" t="inlineStr">
        <is>
          <t>1. INTENT CLASSIFICATION METRICS</t>
        </is>
      </c>
      <c r="B3" s="32" t="n"/>
      <c r="C3" s="32" t="n"/>
      <c r="D3" s="33" t="n"/>
    </row>
    <row r="4">
      <c r="A4" s="34" t="inlineStr">
        <is>
          <t>Metric</t>
        </is>
      </c>
      <c r="B4" s="34" t="inlineStr">
        <is>
          <t>Accuracy</t>
        </is>
      </c>
      <c r="C4" s="34" t="inlineStr">
        <is>
          <t>Definition</t>
        </is>
      </c>
      <c r="D4" s="34" t="inlineStr">
        <is>
          <t>How many queries were classified with correct intent</t>
        </is>
      </c>
    </row>
    <row r="5">
      <c r="A5" s="35" t="inlineStr">
        <is>
          <t>Formula</t>
        </is>
      </c>
      <c r="B5" s="36" t="inlineStr">
        <is>
          <t>Accuracy = Correct / Total</t>
        </is>
      </c>
      <c r="C5" s="32" t="n"/>
      <c r="D5" s="33" t="n"/>
    </row>
    <row r="6">
      <c r="A6" s="35" t="inlineStr">
        <is>
          <t>Example</t>
        </is>
      </c>
      <c r="B6" s="37" t="inlineStr">
        <is>
          <t>188 correct classifications out of 200 queries = 94% accuracy</t>
        </is>
      </c>
      <c r="C6" s="32" t="n"/>
      <c r="D6" s="33" t="n"/>
    </row>
    <row r="7">
      <c r="A7" s="35" t="inlineStr">
        <is>
          <t>Target</t>
        </is>
      </c>
      <c r="B7" s="38" t="inlineStr">
        <is>
          <t>≥ 95%</t>
        </is>
      </c>
      <c r="C7" t="inlineStr">
        <is>
          <t>Importance</t>
        </is>
      </c>
      <c r="D7" t="inlineStr">
        <is>
          <t>Critical - wrong intent leads to wrong answer path</t>
        </is>
      </c>
    </row>
    <row r="9">
      <c r="A9" s="34" t="inlineStr">
        <is>
          <t>Metric</t>
        </is>
      </c>
      <c r="B9" s="34" t="inlineStr">
        <is>
          <t>Confidence Score</t>
        </is>
      </c>
      <c r="C9" s="34" t="inlineStr">
        <is>
          <t>Definition</t>
        </is>
      </c>
      <c r="D9" s="34" t="inlineStr">
        <is>
          <t>System's certainty about intent classification (0-100%)</t>
        </is>
      </c>
    </row>
    <row r="10">
      <c r="A10" s="35" t="inlineStr">
        <is>
          <t>Calculation</t>
        </is>
      </c>
      <c r="B10" s="36" t="inlineStr">
        <is>
          <t>Based on pattern match strength + keyword overlap + AI certainty</t>
        </is>
      </c>
      <c r="C10" s="32" t="n"/>
      <c r="D10" s="33" t="n"/>
    </row>
    <row r="11">
      <c r="A11" s="35" t="inlineStr">
        <is>
          <t>Example</t>
        </is>
      </c>
      <c r="B11" s="37" t="inlineStr">
        <is>
          <t>Exact pattern match ("congressional notification") = 100% confidence</t>
        </is>
      </c>
      <c r="C11" s="32" t="n"/>
      <c r="D11" s="33" t="n"/>
    </row>
    <row r="12">
      <c r="A12" s="35" t="inlineStr">
        <is>
          <t>Target</t>
        </is>
      </c>
      <c r="B12" s="38" t="inlineStr">
        <is>
          <t>≥ 90%</t>
        </is>
      </c>
      <c r="C12" t="inlineStr">
        <is>
          <t>Use Case</t>
        </is>
      </c>
      <c r="D12" t="inlineStr">
        <is>
          <t>Queries &lt;95% confidence go to HITL review queue</t>
        </is>
      </c>
    </row>
    <row r="14" ht="25.2" customHeight="1" s="17">
      <c r="A14" s="31" t="inlineStr">
        <is>
          <t>2. ENTITY EXTRACTION METRICS</t>
        </is>
      </c>
      <c r="B14" s="32" t="n"/>
      <c r="C14" s="32" t="n"/>
      <c r="D14" s="33" t="n"/>
    </row>
    <row r="15">
      <c r="A15" s="34" t="inlineStr">
        <is>
          <t>Metric</t>
        </is>
      </c>
      <c r="B15" s="34" t="inlineStr">
        <is>
          <t>Precision</t>
        </is>
      </c>
      <c r="C15" s="34" t="inlineStr">
        <is>
          <t>Definition</t>
        </is>
      </c>
      <c r="D15" s="34" t="inlineStr">
        <is>
          <t>Of entities extracted, how many were correct</t>
        </is>
      </c>
    </row>
    <row r="16">
      <c r="A16" s="35" t="inlineStr">
        <is>
          <t>Formula</t>
        </is>
      </c>
      <c r="B16" s="36" t="inlineStr">
        <is>
          <t>Precision = True Positives / (True Positives + False Positives)</t>
        </is>
      </c>
      <c r="C16" s="32" t="n"/>
      <c r="D16" s="33" t="n"/>
    </row>
    <row r="17">
      <c r="A17" s="35" t="inlineStr">
        <is>
          <t>Example</t>
        </is>
      </c>
      <c r="B17" s="37" t="inlineStr">
        <is>
          <t>Extracted 10 entities, 9 were correct, 1 was wrong = 90% precision</t>
        </is>
      </c>
      <c r="C17" s="32" t="n"/>
      <c r="D17" s="33" t="n"/>
    </row>
    <row r="18">
      <c r="A18" s="35" t="inlineStr">
        <is>
          <t>Target</t>
        </is>
      </c>
      <c r="B18" s="38" t="inlineStr">
        <is>
          <t>≥ 90%</t>
        </is>
      </c>
      <c r="C18" t="inlineStr">
        <is>
          <t>Impact</t>
        </is>
      </c>
      <c r="D18" t="inlineStr">
        <is>
          <t>Low precision = false entities confuse the answer</t>
        </is>
      </c>
    </row>
    <row r="20">
      <c r="A20" s="34" t="inlineStr">
        <is>
          <t>Metric</t>
        </is>
      </c>
      <c r="B20" s="34" t="inlineStr">
        <is>
          <t>Recall</t>
        </is>
      </c>
      <c r="C20" s="34" t="inlineStr">
        <is>
          <t>Definition</t>
        </is>
      </c>
      <c r="D20" s="34" t="inlineStr">
        <is>
          <t>Of all relevant entities, how many did we find</t>
        </is>
      </c>
    </row>
    <row r="21">
      <c r="A21" s="35" t="inlineStr">
        <is>
          <t>Formula</t>
        </is>
      </c>
      <c r="B21" s="36" t="inlineStr">
        <is>
          <t>Recall = True Positives / (True Positives + False Negatives)</t>
        </is>
      </c>
      <c r="C21" s="32" t="n"/>
      <c r="D21" s="33" t="n"/>
    </row>
    <row r="22">
      <c r="A22" s="35" t="inlineStr">
        <is>
          <t>Example</t>
        </is>
      </c>
      <c r="B22" s="37" t="inlineStr">
        <is>
          <t>Query had 10 entities, we found 8, missed 2 = 80% recall</t>
        </is>
      </c>
      <c r="C22" s="32" t="n"/>
      <c r="D22" s="33" t="n"/>
    </row>
    <row r="23">
      <c r="A23" s="35" t="inlineStr">
        <is>
          <t>Target</t>
        </is>
      </c>
      <c r="B23" s="38" t="inlineStr">
        <is>
          <t>≥ 85%</t>
        </is>
      </c>
      <c r="C23" t="inlineStr">
        <is>
          <t>Impact</t>
        </is>
      </c>
      <c r="D23" t="inlineStr">
        <is>
          <t>Low recall = missing important context for answer</t>
        </is>
      </c>
    </row>
    <row r="25" ht="14.4" customHeight="1" s="17">
      <c r="A25" s="34" t="inlineStr">
        <is>
          <t>Metric</t>
        </is>
      </c>
      <c r="B25" s="34" t="inlineStr">
        <is>
          <t>F1 Score</t>
        </is>
      </c>
      <c r="C25" s="34" t="inlineStr">
        <is>
          <t>Definition</t>
        </is>
      </c>
      <c r="D25" s="34" t="inlineStr">
        <is>
          <t>Harmonic mean of precision and recall (balanced measure)</t>
        </is>
      </c>
    </row>
    <row r="26">
      <c r="A26" s="35" t="inlineStr">
        <is>
          <t>Formula</t>
        </is>
      </c>
      <c r="B26" s="36" t="inlineStr">
        <is>
          <t>F1 = 2 × (Precision × Recall) / (Precision + Recall)</t>
        </is>
      </c>
      <c r="C26" s="32" t="n"/>
      <c r="D26" s="33" t="n"/>
    </row>
    <row r="27">
      <c r="A27" s="35" t="inlineStr">
        <is>
          <t>Example</t>
        </is>
      </c>
      <c r="B27" s="37" t="inlineStr">
        <is>
          <t>Precision 91%, Recall 87% → F1 = 2×(0.91×0.87)/(0.91+0.87) = 89%</t>
        </is>
      </c>
      <c r="C27" s="32" t="n"/>
      <c r="D27" s="33" t="n"/>
    </row>
    <row r="28">
      <c r="A28" s="35" t="inlineStr">
        <is>
          <t>Target</t>
        </is>
      </c>
      <c r="B28" s="38" t="inlineStr">
        <is>
          <t>≥ 90%</t>
        </is>
      </c>
      <c r="C28" t="inlineStr">
        <is>
          <t>Why F1?</t>
        </is>
      </c>
      <c r="D28" t="inlineStr">
        <is>
          <t>Better than accuracy alone - penalizes imbalance</t>
        </is>
      </c>
    </row>
    <row r="30">
      <c r="A30" s="34" t="inlineStr">
        <is>
          <t>Metric</t>
        </is>
      </c>
      <c r="B30" s="34" t="inlineStr">
        <is>
          <t>Hallucination Rate</t>
        </is>
      </c>
      <c r="C30" s="34" t="inlineStr">
        <is>
          <t>Definition</t>
        </is>
      </c>
      <c r="D30" s="34" t="inlineStr">
        <is>
          <t>Percentage of extracted entities that don't exist in query</t>
        </is>
      </c>
    </row>
    <row r="31">
      <c r="A31" s="35" t="inlineStr">
        <is>
          <t>Formula</t>
        </is>
      </c>
      <c r="B31" s="36" t="inlineStr">
        <is>
          <t>Hallucination = False Positives / Total Extracted Entities</t>
        </is>
      </c>
      <c r="C31" s="32" t="n"/>
      <c r="D31" s="33" t="n"/>
    </row>
    <row r="32">
      <c r="A32" s="35" t="inlineStr">
        <is>
          <t>Example</t>
        </is>
      </c>
      <c r="B32" s="37" t="inlineStr">
        <is>
          <t>Extracted 50 entities, 3 were hallucinated = 6% hallucination rate</t>
        </is>
      </c>
      <c r="C32" s="32" t="n"/>
      <c r="D32" s="33" t="n"/>
    </row>
    <row r="33">
      <c r="A33" s="35" t="inlineStr">
        <is>
          <t>Target</t>
        </is>
      </c>
      <c r="B33" s="39" t="inlineStr">
        <is>
          <t>≤ 5%</t>
        </is>
      </c>
      <c r="C33" t="inlineStr">
        <is>
          <t>Impact</t>
        </is>
      </c>
      <c r="D33" t="inlineStr">
        <is>
          <t>CRITICAL - hallucinations destroy trust and accuracy</t>
        </is>
      </c>
    </row>
    <row r="34">
      <c r="A34" s="40" t="n"/>
      <c r="B34" s="41" t="n"/>
    </row>
    <row r="35" ht="14.4" customHeight="1" s="17">
      <c r="A35" s="34" t="inlineStr">
        <is>
          <t>Metric</t>
        </is>
      </c>
      <c r="B35" s="34" t="inlineStr">
        <is>
          <t>Confidence Score</t>
        </is>
      </c>
      <c r="C35" s="34" t="inlineStr">
        <is>
          <t>Definition</t>
        </is>
      </c>
      <c r="D35" s="34" t="inlineStr">
        <is>
          <t>System's certainty about entity extraction quality (0-100%)</t>
        </is>
      </c>
    </row>
    <row r="36">
      <c r="A36" s="35" t="inlineStr">
        <is>
          <t>Calculation</t>
        </is>
      </c>
      <c r="B36" s="36" t="inlineStr">
        <is>
          <t>Composite: Source (40%) + Query Relevance (35%) + Extraction Quality (25%)</t>
        </is>
      </c>
      <c r="C36" s="32" t="n"/>
      <c r="D36" s="33" t="n"/>
    </row>
    <row r="37">
      <c r="A37" s="35" t="inlineStr">
        <is>
          <t>Example</t>
        </is>
      </c>
      <c r="B37" s="37" t="inlineStr">
        <is>
          <t>Entity "DSCA" in query "What is DSCA?": Source=0.95, Relevance=1.0, Extract=0.95 → 0.967 (96.7%)</t>
        </is>
      </c>
      <c r="C37" s="32" t="n"/>
      <c r="D37" s="33" t="n"/>
    </row>
    <row r="38">
      <c r="A38" s="35" t="inlineStr">
        <is>
          <t>Target</t>
        </is>
      </c>
      <c r="B38" s="38" t="inlineStr">
        <is>
          <t>≥ 85%</t>
        </is>
      </c>
      <c r="C38" t="inlineStr">
        <is>
          <t>Use Case</t>
        </is>
      </c>
      <c r="D38" t="inlineStr">
        <is>
          <t>Low confidence entities flagged for review; hallucination detection</t>
        </is>
      </c>
    </row>
    <row r="39">
      <c r="A39" s="35" t="n"/>
      <c r="B39" s="42" t="n"/>
    </row>
    <row r="40" ht="25.2" customHeight="1" s="17">
      <c r="A40" s="43" t="inlineStr">
        <is>
          <t>3. ANSWER QUALITY METRICS</t>
        </is>
      </c>
      <c r="B40" s="32" t="n"/>
      <c r="C40" s="32" t="n"/>
      <c r="D40" s="33" t="n"/>
    </row>
    <row r="41">
      <c r="A41" s="34" t="inlineStr">
        <is>
          <t>Metric</t>
        </is>
      </c>
      <c r="B41" s="34" t="inlineStr">
        <is>
          <t>Completeness</t>
        </is>
      </c>
      <c r="C41" s="34" t="inlineStr">
        <is>
          <t>Definition</t>
        </is>
      </c>
      <c r="D41" s="34" t="inlineStr">
        <is>
          <t>Does answer address all parts of the question</t>
        </is>
      </c>
    </row>
    <row r="42">
      <c r="A42" s="35" t="inlineStr">
        <is>
          <t>Measurement</t>
        </is>
      </c>
      <c r="B42" s="36" t="inlineStr">
        <is>
          <t>Human evaluation: Complete (100%), Partial (50%), Incomplete (0%)</t>
        </is>
      </c>
      <c r="C42" s="32" t="n"/>
      <c r="D42" s="33" t="n"/>
    </row>
    <row r="43">
      <c r="A43" s="35" t="inlineStr">
        <is>
          <t>Example</t>
        </is>
      </c>
      <c r="B43" s="37" t="inlineStr">
        <is>
          <t>Q: 'What is threshold and who approves?' A: 'Threshold is $50M' = 50% (missing approval)</t>
        </is>
      </c>
      <c r="C43" s="32" t="n"/>
      <c r="D43" s="33" t="n"/>
    </row>
    <row r="44">
      <c r="A44" s="35" t="inlineStr">
        <is>
          <t>Target</t>
        </is>
      </c>
      <c r="B44" s="38" t="inlineStr">
        <is>
          <t>≥ 95%</t>
        </is>
      </c>
      <c r="C44" t="inlineStr">
        <is>
          <t>Impact</t>
        </is>
      </c>
      <c r="D44" t="inlineStr">
        <is>
          <t>User satisfaction - incomplete answers require follow-ups</t>
        </is>
      </c>
    </row>
    <row r="46" ht="14.4" customHeight="1" s="17">
      <c r="A46" s="34" t="inlineStr">
        <is>
          <t>Metric</t>
        </is>
      </c>
      <c r="B46" s="34" t="inlineStr">
        <is>
          <t>Groundedness</t>
        </is>
      </c>
      <c r="C46" s="34" t="inlineStr">
        <is>
          <t>Definition</t>
        </is>
      </c>
      <c r="D46" s="34" t="inlineStr">
        <is>
          <t>Is answer supported by retrieved documents (no hallucination)</t>
        </is>
      </c>
    </row>
    <row r="47">
      <c r="A47" s="35" t="inlineStr">
        <is>
          <t>Measurement</t>
        </is>
      </c>
      <c r="B47" s="36" t="inlineStr">
        <is>
          <t>Every claim must have source in retrieved context</t>
        </is>
      </c>
      <c r="C47" s="32" t="n"/>
      <c r="D47" s="33" t="n"/>
    </row>
    <row r="48">
      <c r="A48" s="35" t="inlineStr">
        <is>
          <t>Example</t>
        </is>
      </c>
      <c r="B48" s="37" t="inlineStr">
        <is>
          <t>Answer says '$50M threshold' and Chapter 6.2.1 retrieved doc confirms = Grounded</t>
        </is>
      </c>
      <c r="C48" s="32" t="n"/>
      <c r="D48" s="33" t="n"/>
    </row>
    <row r="49">
      <c r="A49" s="35" t="inlineStr">
        <is>
          <t>Target</t>
        </is>
      </c>
      <c r="B49" s="39" t="inlineStr">
        <is>
          <t>≥ 98%</t>
        </is>
      </c>
      <c r="C49" t="inlineStr">
        <is>
          <t>Impact</t>
        </is>
      </c>
      <c r="D49" t="inlineStr">
        <is>
          <t>CRITICAL - ungrounded answers = misinformation</t>
        </is>
      </c>
    </row>
    <row r="51">
      <c r="A51" s="34" t="inlineStr">
        <is>
          <t>Metric</t>
        </is>
      </c>
      <c r="B51" s="34" t="inlineStr">
        <is>
          <t>Citation Accuracy</t>
        </is>
      </c>
      <c r="C51" s="34" t="inlineStr">
        <is>
          <t>Definition</t>
        </is>
      </c>
      <c r="D51" s="34" t="inlineStr">
        <is>
          <t>Are provided citations correct and verifiable</t>
        </is>
      </c>
    </row>
    <row r="52">
      <c r="A52" s="35" t="inlineStr">
        <is>
          <t>Measurement</t>
        </is>
      </c>
      <c r="B52" s="36" t="inlineStr">
        <is>
          <t>Citation points to correct chapter/section that supports claim</t>
        </is>
      </c>
      <c r="C52" s="32" t="n"/>
      <c r="D52" s="33" t="n"/>
    </row>
    <row r="53">
      <c r="A53" s="35" t="inlineStr">
        <is>
          <t>Example</t>
        </is>
      </c>
      <c r="B53" s="37" t="inlineStr">
        <is>
          <t>Says 'Chapter 6.2.1' and that chapter actually contains the info = Accurate</t>
        </is>
      </c>
      <c r="C53" s="32" t="n"/>
      <c r="D53" s="33" t="n"/>
    </row>
    <row r="54">
      <c r="A54" s="35" t="inlineStr">
        <is>
          <t>Target</t>
        </is>
      </c>
      <c r="B54" s="38" t="inlineStr">
        <is>
          <t>≥ 95%</t>
        </is>
      </c>
      <c r="C54" t="inlineStr">
        <is>
          <t>Impact</t>
        </is>
      </c>
      <c r="D54" t="inlineStr">
        <is>
          <t>Trust - users verify citations</t>
        </is>
      </c>
    </row>
    <row r="55">
      <c r="A55" s="40" t="n"/>
      <c r="B55" s="44" t="n"/>
    </row>
    <row r="56" ht="14.4" customHeight="1" s="17">
      <c r="A56" s="34" t="inlineStr">
        <is>
          <t>Metric</t>
        </is>
      </c>
      <c r="B56" s="34" t="inlineStr">
        <is>
          <t>Quality Score</t>
        </is>
      </c>
      <c r="C56" s="34" t="inlineStr">
        <is>
          <t>Definition</t>
        </is>
      </c>
      <c r="D56" s="34" t="inlineStr">
        <is>
          <t>Answer adheres to SAMM standards and formatting</t>
        </is>
      </c>
    </row>
    <row r="57">
      <c r="A57" s="35" t="inlineStr">
        <is>
          <t>Measurement</t>
        </is>
      </c>
      <c r="B57" s="36" t="inlineStr">
        <is>
          <t>Automated: Section citations (25%) + Acronym expansion (15%) + Length (25%) + SAMM terms (20%) + Structure (15%)</t>
        </is>
      </c>
      <c r="C57" s="32" t="n"/>
      <c r="D57" s="33" t="n"/>
    </row>
    <row r="58">
      <c r="A58" s="35" t="inlineStr">
        <is>
          <t>Example</t>
        </is>
      </c>
      <c r="B58" s="37" t="inlineStr">
        <is>
          <t>Answer has chapter refs, expands acronyms, proper length, uses SAMM terms → 0.85 (85%)</t>
        </is>
      </c>
      <c r="C58" s="32" t="n"/>
      <c r="D58" s="33" t="n"/>
    </row>
    <row r="59">
      <c r="A59" s="35" t="inlineStr">
        <is>
          <t>Target</t>
        </is>
      </c>
      <c r="B59" s="38" t="inlineStr">
        <is>
          <t>≥ 80%</t>
        </is>
      </c>
      <c r="C59" t="inlineStr">
        <is>
          <t>Impact</t>
        </is>
      </c>
      <c r="D59" t="inlineStr">
        <is>
          <t>Low quality = poor user experience</t>
        </is>
      </c>
    </row>
    <row r="60">
      <c r="A60" s="40" t="n"/>
      <c r="B60" s="44" t="n"/>
    </row>
    <row r="61">
      <c r="A61" s="34" t="inlineStr">
        <is>
          <t>Metric</t>
        </is>
      </c>
      <c r="B61" s="34" t="inlineStr">
        <is>
          <t>Confidence Score</t>
        </is>
      </c>
      <c r="C61" s="34" t="inlineStr">
        <is>
          <t>Definition</t>
        </is>
      </c>
      <c r="D61" s="34" t="inlineStr">
        <is>
          <t>System's certainty about answer quality (0-100%)</t>
        </is>
      </c>
    </row>
    <row r="62">
      <c r="A62" s="35" t="inlineStr">
        <is>
          <t>Calculation</t>
        </is>
      </c>
      <c r="B62" s="36" t="inlineStr">
        <is>
          <t>Composite: Completeness (30%) + Groundedness (30%) + Citation (20%) + Quality (20%)</t>
        </is>
      </c>
      <c r="C62" s="32" t="n"/>
      <c r="D62" s="33" t="n"/>
    </row>
    <row r="63">
      <c r="A63" s="35" t="inlineStr">
        <is>
          <t>Example</t>
        </is>
      </c>
      <c r="B63" s="37" t="inlineStr">
        <is>
          <t>Complete answer, claims sourced, citations correct, good quality → 0.88 (88%)</t>
        </is>
      </c>
      <c r="C63" s="32" t="n"/>
      <c r="D63" s="33" t="n"/>
    </row>
    <row r="64">
      <c r="A64" s="35" t="inlineStr">
        <is>
          <t>Target</t>
        </is>
      </c>
      <c r="B64" s="38" t="inlineStr">
        <is>
          <t>≥ 85%</t>
        </is>
      </c>
      <c r="C64" t="inlineStr">
        <is>
          <t>Use Case</t>
        </is>
      </c>
      <c r="D64" t="inlineStr">
        <is>
          <t>Low confidence answers flagged for human review</t>
        </is>
      </c>
    </row>
    <row r="66" ht="25.2" customHeight="1" s="17">
      <c r="A66" s="43" t="inlineStr">
        <is>
          <t>4. RETRIEVAL PERFORMANCE METRICS</t>
        </is>
      </c>
      <c r="B66" s="32" t="n"/>
      <c r="C66" s="32" t="n"/>
      <c r="D66" s="33" t="n"/>
    </row>
    <row r="67" ht="14.4" customHeight="1" s="17">
      <c r="A67" s="34" t="inlineStr">
        <is>
          <t>Metric</t>
        </is>
      </c>
      <c r="B67" s="34" t="inlineStr">
        <is>
          <t>Hit Rate</t>
        </is>
      </c>
      <c r="C67" s="34" t="inlineStr">
        <is>
          <t>Definition</t>
        </is>
      </c>
      <c r="D67" s="34" t="inlineStr">
        <is>
          <t>% of queries where at least one relevant doc was retrieved</t>
        </is>
      </c>
    </row>
    <row r="68">
      <c r="A68" s="35" t="inlineStr">
        <is>
          <t>Formula</t>
        </is>
      </c>
      <c r="B68" s="36" t="inlineStr">
        <is>
          <t>Hit Rate = Queries with Relevant Doc / Total Queries</t>
        </is>
      </c>
      <c r="C68" s="32" t="n"/>
      <c r="D68" s="33" t="n"/>
    </row>
    <row r="69">
      <c r="A69" s="35" t="inlineStr">
        <is>
          <t>Example</t>
        </is>
      </c>
      <c r="B69" s="37" t="inlineStr">
        <is>
          <t>Out of 200 queries, 192 retrieved at least one good doc = 96% hit rate</t>
        </is>
      </c>
      <c r="C69" s="32" t="n"/>
      <c r="D69" s="33" t="n"/>
    </row>
    <row r="70">
      <c r="A70" s="35" t="inlineStr">
        <is>
          <t>Target</t>
        </is>
      </c>
      <c r="B70" s="38" t="inlineStr">
        <is>
          <t>≥ 95%</t>
        </is>
      </c>
      <c r="C70" t="inlineStr">
        <is>
          <t>Impact</t>
        </is>
      </c>
      <c r="D70" t="inlineStr">
        <is>
          <t>Low hit rate = can't answer (no context found)</t>
        </is>
      </c>
    </row>
    <row r="72">
      <c r="A72" s="34" t="inlineStr">
        <is>
          <t>Metric</t>
        </is>
      </c>
      <c r="B72" s="34" t="inlineStr">
        <is>
          <t>MRR (Mean Reciprocal Rank)</t>
        </is>
      </c>
      <c r="C72" s="34" t="inlineStr">
        <is>
          <t>Definition</t>
        </is>
      </c>
      <c r="D72" s="34" t="inlineStr">
        <is>
          <t>Average position of first relevant document</t>
        </is>
      </c>
    </row>
    <row r="73">
      <c r="A73" s="35" t="inlineStr">
        <is>
          <t>Formula</t>
        </is>
      </c>
      <c r="B73" s="36" t="inlineStr">
        <is>
          <t>MRR = Average(1/rank of first relevant doc)</t>
        </is>
      </c>
      <c r="C73" s="32" t="n"/>
      <c r="D73" s="33" t="n"/>
    </row>
    <row r="74">
      <c r="A74" s="35" t="inlineStr">
        <is>
          <t>Example</t>
        </is>
      </c>
      <c r="B74" s="37" t="inlineStr">
        <is>
          <t>First relevant doc at position 2 → MRR = 1/2 = 0.50</t>
        </is>
      </c>
      <c r="C74" s="32" t="n"/>
      <c r="D74" s="33" t="n"/>
    </row>
    <row r="75">
      <c r="A75" s="35" t="inlineStr">
        <is>
          <t>Target</t>
        </is>
      </c>
      <c r="B75" s="38" t="inlineStr">
        <is>
          <t>≥ 0.85</t>
        </is>
      </c>
      <c r="C75" t="inlineStr">
        <is>
          <t>Impact</t>
        </is>
      </c>
      <c r="D75" t="inlineStr">
        <is>
          <t>Higher MRR = relevant docs ranked higher (better retrieval)</t>
        </is>
      </c>
    </row>
    <row r="77" ht="25.2" customHeight="1" s="17">
      <c r="A77" s="43" t="inlineStr">
        <is>
          <t>5. SYSTEM PERFORMANCE METRICS</t>
        </is>
      </c>
      <c r="B77" s="32" t="n"/>
      <c r="C77" s="32" t="n"/>
      <c r="D77" s="33" t="n"/>
    </row>
    <row r="78">
      <c r="A78" s="34" t="inlineStr">
        <is>
          <t>Metric</t>
        </is>
      </c>
      <c r="B78" s="34" t="inlineStr">
        <is>
          <t>Response Latency</t>
        </is>
      </c>
      <c r="C78" s="34" t="inlineStr">
        <is>
          <t>Definition</t>
        </is>
      </c>
      <c r="D78" s="34" t="inlineStr">
        <is>
          <t>Time from query submission to answer delivery</t>
        </is>
      </c>
    </row>
    <row r="79">
      <c r="A79" s="35" t="inlineStr">
        <is>
          <t>Measurement</t>
        </is>
      </c>
      <c r="B79" s="36" t="inlineStr">
        <is>
          <t>Average response time in seconds (from user perspective)</t>
        </is>
      </c>
      <c r="C79" s="32" t="n"/>
      <c r="D79" s="33" t="n"/>
    </row>
    <row r="80">
      <c r="A80" s="35" t="inlineStr">
        <is>
          <t>Example</t>
        </is>
      </c>
      <c r="B80" s="37" t="inlineStr">
        <is>
          <t>Current average: 4.2 seconds per query</t>
        </is>
      </c>
      <c r="C80" s="32" t="n"/>
      <c r="D80" s="33" t="n"/>
    </row>
    <row r="81">
      <c r="A81" s="35" t="inlineStr">
        <is>
          <t>Target</t>
        </is>
      </c>
      <c r="B81" s="38" t="inlineStr">
        <is>
          <t>≤ 5 seconds</t>
        </is>
      </c>
      <c r="C81" t="inlineStr">
        <is>
          <t>Impact</t>
        </is>
      </c>
      <c r="D81" t="inlineStr">
        <is>
          <t>User experience - slow responses frustrate users</t>
        </is>
      </c>
    </row>
    <row r="83">
      <c r="A83" s="34" t="inlineStr">
        <is>
          <t>Metric</t>
        </is>
      </c>
      <c r="B83" s="34" t="inlineStr">
        <is>
          <t>Throughput</t>
        </is>
      </c>
      <c r="C83" s="34" t="inlineStr">
        <is>
          <t>Definition</t>
        </is>
      </c>
      <c r="D83" s="34" t="inlineStr">
        <is>
          <t>Number of queries system can handle concurrently</t>
        </is>
      </c>
    </row>
    <row r="84">
      <c r="A84" s="35" t="inlineStr">
        <is>
          <t>Measurement</t>
        </is>
      </c>
      <c r="B84" s="36" t="inlineStr">
        <is>
          <t>Queries per minute without degradation</t>
        </is>
      </c>
      <c r="C84" s="32" t="n"/>
      <c r="D84" s="33" t="n"/>
    </row>
    <row r="85">
      <c r="A85" s="35" t="inlineStr">
        <is>
          <t>Example</t>
        </is>
      </c>
      <c r="B85" s="37" t="inlineStr">
        <is>
          <t>System handles 50 concurrent users without slowdown</t>
        </is>
      </c>
      <c r="C85" s="32" t="n"/>
      <c r="D85" s="33" t="n"/>
    </row>
    <row r="86">
      <c r="A86" s="35" t="inlineStr">
        <is>
          <t>Target</t>
        </is>
      </c>
      <c r="B86" s="38" t="inlineStr">
        <is>
          <t>≥ 100 queries/min</t>
        </is>
      </c>
      <c r="C86" t="inlineStr">
        <is>
          <t>Impact</t>
        </is>
      </c>
      <c r="D86" t="inlineStr">
        <is>
          <t>Scalability - must handle multiple simultaneous users</t>
        </is>
      </c>
    </row>
  </sheetData>
  <mergeCells count="38">
    <mergeCell ref="B42:D42"/>
    <mergeCell ref="B11:D11"/>
    <mergeCell ref="B57:D57"/>
    <mergeCell ref="B17:D17"/>
    <mergeCell ref="B73:D73"/>
    <mergeCell ref="B53:D53"/>
    <mergeCell ref="B69:D69"/>
    <mergeCell ref="B10:D10"/>
    <mergeCell ref="A40:D40"/>
    <mergeCell ref="B37:D37"/>
    <mergeCell ref="A77:D77"/>
    <mergeCell ref="B84:D84"/>
    <mergeCell ref="B74:D74"/>
    <mergeCell ref="B68:D68"/>
    <mergeCell ref="B6:D6"/>
    <mergeCell ref="A1:D1"/>
    <mergeCell ref="B80:D80"/>
    <mergeCell ref="B36:D36"/>
    <mergeCell ref="B5:D5"/>
    <mergeCell ref="B63:D63"/>
    <mergeCell ref="B85:D85"/>
    <mergeCell ref="B79:D79"/>
    <mergeCell ref="B32:D32"/>
    <mergeCell ref="B26:D26"/>
    <mergeCell ref="B62:D62"/>
    <mergeCell ref="B47:D47"/>
    <mergeCell ref="B16:D16"/>
    <mergeCell ref="A66:D66"/>
    <mergeCell ref="B31:D31"/>
    <mergeCell ref="B22:D22"/>
    <mergeCell ref="A3:D3"/>
    <mergeCell ref="B58:D58"/>
    <mergeCell ref="B27:D27"/>
    <mergeCell ref="B52:D52"/>
    <mergeCell ref="B21:D21"/>
    <mergeCell ref="B43:D43"/>
    <mergeCell ref="B48:D48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Q3" sqref="Q3"/>
    </sheetView>
  </sheetViews>
  <sheetFormatPr baseColWidth="8" defaultRowHeight="14.4"/>
  <cols>
    <col width="10" customWidth="1" style="17" min="1" max="1"/>
    <col width="70" customWidth="1" style="17" min="2" max="3"/>
    <col width="12" customWidth="1" style="17" min="4" max="4"/>
    <col width="30" customWidth="1" style="17" min="5" max="5"/>
    <col width="18" customWidth="1" style="17" min="6" max="6"/>
    <col width="70" customWidth="1" style="17" min="7" max="7"/>
    <col width="15" customWidth="1" style="17" min="8" max="17"/>
  </cols>
  <sheetData>
    <row r="1" ht="18" customHeight="1" s="17">
      <c r="A1" s="19" t="inlineStr">
        <is>
          <t>ENTITY EXTRACTION TEST DATA - Top 20 Entities by Importance</t>
        </is>
      </c>
    </row>
    <row r="2">
      <c r="A2" s="3" t="inlineStr">
        <is>
          <t>Test_ID</t>
        </is>
      </c>
      <c r="B2" s="3" t="inlineStr">
        <is>
          <t>Question</t>
        </is>
      </c>
      <c r="C2" s="3" t="inlineStr">
        <is>
          <t>Expected_Entities</t>
        </is>
      </c>
      <c r="D2" s="3" t="inlineStr">
        <is>
          <t>Entity_Count</t>
        </is>
      </c>
      <c r="E2" s="3" t="inlineStr">
        <is>
          <t>Entity_Types</t>
        </is>
      </c>
      <c r="F2" s="3" t="inlineStr">
        <is>
          <t>Importance</t>
        </is>
      </c>
      <c r="G2" s="3" t="inlineStr">
        <is>
          <t>Actual_Entities</t>
        </is>
      </c>
      <c r="H2" s="3" t="inlineStr">
        <is>
          <t>True_Positives</t>
        </is>
      </c>
      <c r="I2" s="3" t="inlineStr">
        <is>
          <t>False_Positives</t>
        </is>
      </c>
      <c r="J2" s="3" t="inlineStr">
        <is>
          <t>False_Negatives</t>
        </is>
      </c>
      <c r="K2" s="3" t="inlineStr">
        <is>
          <t>Precision</t>
        </is>
      </c>
      <c r="L2" s="3" t="inlineStr">
        <is>
          <t>Recall</t>
        </is>
      </c>
      <c r="M2" s="3" t="inlineStr">
        <is>
          <t>F1_Score</t>
        </is>
      </c>
      <c r="N2" s="3" t="inlineStr">
        <is>
          <t>Hallucination</t>
        </is>
      </c>
      <c r="O2" s="3" t="inlineStr">
        <is>
          <t>Confidence</t>
        </is>
      </c>
      <c r="P2" s="3" t="inlineStr">
        <is>
          <t>Status</t>
        </is>
      </c>
      <c r="Q2" s="3" t="inlineStr">
        <is>
          <t>Notes</t>
        </is>
      </c>
    </row>
    <row r="3">
      <c r="A3" s="4" t="inlineStr">
        <is>
          <t>ET001</t>
        </is>
      </c>
      <c r="B3" s="5" t="inlineStr">
        <is>
          <t>What is DSCA?</t>
        </is>
      </c>
      <c r="C3" s="5" t="inlineStr">
        <is>
          <t>DSCA, Defense Security Cooperation Agency</t>
        </is>
      </c>
      <c r="D3" s="4" t="n">
        <v>2</v>
      </c>
      <c r="E3" s="4" t="inlineStr">
        <is>
          <t>ORGANIZATION</t>
        </is>
      </c>
      <c r="F3" s="6" t="inlineStr">
        <is>
          <t>CRITICAL-451</t>
        </is>
      </c>
      <c r="G3" s="5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A4" s="4" t="inlineStr">
        <is>
          <t>ET002</t>
        </is>
      </c>
      <c r="B4" s="5" t="inlineStr">
        <is>
          <t>What does DSCA stand for?</t>
        </is>
      </c>
      <c r="C4" s="5" t="inlineStr">
        <is>
          <t>DSCA, Defense Security Cooperation Agency</t>
        </is>
      </c>
      <c r="D4" s="4" t="n">
        <v>2</v>
      </c>
      <c r="E4" s="4" t="inlineStr">
        <is>
          <t>ORGANIZATION</t>
        </is>
      </c>
      <c r="F4" s="6" t="inlineStr">
        <is>
          <t>CRITICAL-451</t>
        </is>
      </c>
      <c r="G4" s="5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4" t="inlineStr">
        <is>
          <t>ET003</t>
        </is>
      </c>
      <c r="B5" s="5" t="inlineStr">
        <is>
          <t>What is the role of DSCA?</t>
        </is>
      </c>
      <c r="C5" s="5" t="inlineStr">
        <is>
          <t>DSCA, Defense Security Cooperation Agency</t>
        </is>
      </c>
      <c r="D5" s="4" t="n">
        <v>2</v>
      </c>
      <c r="E5" s="4" t="inlineStr">
        <is>
          <t>ORGANIZATION</t>
        </is>
      </c>
      <c r="F5" s="6" t="inlineStr">
        <is>
          <t>CRITICAL-451</t>
        </is>
      </c>
      <c r="G5" s="5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4" t="inlineStr">
        <is>
          <t>ET004</t>
        </is>
      </c>
      <c r="B6" s="5" t="inlineStr">
        <is>
          <t>Who is the Director of DSCA?</t>
        </is>
      </c>
      <c r="C6" s="5" t="inlineStr">
        <is>
          <t>Director DSCA, DSCA, Defense Security Cooperation Agency</t>
        </is>
      </c>
      <c r="D6" s="4" t="n">
        <v>3</v>
      </c>
      <c r="E6" s="4" t="inlineStr">
        <is>
          <t>ROLE, ORGANIZATION</t>
        </is>
      </c>
      <c r="F6" s="6" t="inlineStr">
        <is>
          <t>CRITICAL-451</t>
        </is>
      </c>
      <c r="G6" s="5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4" t="inlineStr">
        <is>
          <t>ET005</t>
        </is>
      </c>
      <c r="B7" s="5" t="inlineStr">
        <is>
          <t>What is DSCA responsible for?</t>
        </is>
      </c>
      <c r="C7" s="5" t="inlineStr">
        <is>
          <t>DSCA, Defense Security Cooperation Agency, SC, Security Cooperation</t>
        </is>
      </c>
      <c r="D7" s="4" t="n">
        <v>4</v>
      </c>
      <c r="E7" s="4" t="inlineStr">
        <is>
          <t>ORGANIZATION, CONCEPT</t>
        </is>
      </c>
      <c r="F7" s="6" t="inlineStr">
        <is>
          <t>CRITICAL-451</t>
        </is>
      </c>
      <c r="G7" s="5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4" t="inlineStr">
        <is>
          <t>ET006</t>
        </is>
      </c>
      <c r="B8" s="5" t="inlineStr">
        <is>
          <t>What directive governs DSCA?</t>
        </is>
      </c>
      <c r="C8" s="5" t="inlineStr">
        <is>
          <t>DoDD 5105.65, DSCA, Defense Security Cooperation Agency</t>
        </is>
      </c>
      <c r="D8" s="4" t="n">
        <v>3</v>
      </c>
      <c r="E8" s="4" t="inlineStr">
        <is>
          <t>LEGISLATION, ORGANIZATION</t>
        </is>
      </c>
      <c r="F8" s="6" t="inlineStr">
        <is>
          <t>CRITICAL-451</t>
        </is>
      </c>
      <c r="G8" s="5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4" t="inlineStr">
        <is>
          <t>ET007</t>
        </is>
      </c>
      <c r="B9" s="5" t="inlineStr">
        <is>
          <t>How does DSCA support CCMDs?</t>
        </is>
      </c>
      <c r="C9" s="5" t="inlineStr">
        <is>
          <t>DSCA, CCMDs</t>
        </is>
      </c>
      <c r="D9" s="4" t="n">
        <v>2</v>
      </c>
      <c r="E9" s="4" t="inlineStr">
        <is>
          <t>ORGANIZATION</t>
        </is>
      </c>
      <c r="F9" s="6" t="inlineStr">
        <is>
          <t>CRITICAL-451</t>
        </is>
      </c>
      <c r="G9" s="5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4" t="inlineStr">
        <is>
          <t>ET008</t>
        </is>
      </c>
      <c r="B10" s="5" t="inlineStr">
        <is>
          <t>What is DSCA's charter?</t>
        </is>
      </c>
      <c r="C10" s="5" t="inlineStr">
        <is>
          <t>DSCA, Defense Security Cooperation Agency, DoDD 5105.65</t>
        </is>
      </c>
      <c r="D10" s="4" t="n">
        <v>3</v>
      </c>
      <c r="E10" s="4" t="inlineStr">
        <is>
          <t>ORGANIZATION, LEGISLATION</t>
        </is>
      </c>
      <c r="F10" s="6" t="inlineStr">
        <is>
          <t>CRITICAL-451</t>
        </is>
      </c>
      <c r="G10" s="5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 ht="28.8" customHeight="1" s="17">
      <c r="A11" s="4" t="inlineStr">
        <is>
          <t>ET009</t>
        </is>
      </c>
      <c r="B11" s="5" t="inlineStr">
        <is>
          <t>Who does DSCA report to?</t>
        </is>
      </c>
      <c r="C11" s="5" t="inlineStr">
        <is>
          <t>DSCA, Defense Security Cooperation Agency, USD(P), Under Secretary of Defense for Policy</t>
        </is>
      </c>
      <c r="D11" s="4" t="n">
        <v>4</v>
      </c>
      <c r="E11" s="4" t="inlineStr">
        <is>
          <t>ORGANIZATION, ROLE</t>
        </is>
      </c>
      <c r="F11" s="6" t="inlineStr">
        <is>
          <t>CRITICAL-451</t>
        </is>
      </c>
      <c r="G11" s="5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 ht="28.8" customHeight="1" s="17">
      <c r="A12" s="4" t="inlineStr">
        <is>
          <t>ET010</t>
        </is>
      </c>
      <c r="B12" s="5" t="inlineStr">
        <is>
          <t>What are DSCA's primary functions?</t>
        </is>
      </c>
      <c r="C12" s="5" t="inlineStr">
        <is>
          <t>DSCA, Defense Security Cooperation Agency, SC, Security Cooperation, SA, Security Assistance, FMS, Foreign Military Sales</t>
        </is>
      </c>
      <c r="D12" s="4" t="n">
        <v>7</v>
      </c>
      <c r="E12" s="4" t="inlineStr">
        <is>
          <t>ORGANIZATION, CONCEPT, PROGRAM</t>
        </is>
      </c>
      <c r="F12" s="6" t="inlineStr">
        <is>
          <t>CRITICAL-451</t>
        </is>
      </c>
      <c r="G12" s="5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 ht="28.8" customHeight="1" s="17">
      <c r="A13" s="4" t="inlineStr">
        <is>
          <t>ET011</t>
        </is>
      </c>
      <c r="B13" s="5" t="inlineStr">
        <is>
          <t>How does DSCA execute SC programs?</t>
        </is>
      </c>
      <c r="C13" s="5" t="inlineStr">
        <is>
          <t>DSCA, Defense Security Cooperation Agency, SC, Security Cooperation, CCMDs, Combatant Commands, IAs, Implementing Agencies</t>
        </is>
      </c>
      <c r="D13" s="4" t="n">
        <v>7</v>
      </c>
      <c r="E13" s="4" t="inlineStr">
        <is>
          <t>ORGANIZATION, CONCEPT</t>
        </is>
      </c>
      <c r="F13" s="6" t="inlineStr">
        <is>
          <t>CRITICAL-451</t>
        </is>
      </c>
      <c r="G13" s="5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 ht="28.8" customHeight="1" s="17">
      <c r="A14" s="4" t="inlineStr">
        <is>
          <t>ET012</t>
        </is>
      </c>
      <c r="B14" s="5" t="inlineStr">
        <is>
          <t>What authority does DSCA have?</t>
        </is>
      </c>
      <c r="C14" s="5" t="inlineStr">
        <is>
          <t>DSCA, Defense Security Cooperation Agency, DoDD 5105.65, USD(P), Under Secretary of Defense for Policy</t>
        </is>
      </c>
      <c r="D14" s="4" t="n">
        <v>5</v>
      </c>
      <c r="E14" s="4" t="inlineStr">
        <is>
          <t>ORGANIZATION, LEGISLATION, ROLE</t>
        </is>
      </c>
      <c r="F14" s="6" t="inlineStr">
        <is>
          <t>CRITICAL-451</t>
        </is>
      </c>
      <c r="G14" s="5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4" t="inlineStr">
        <is>
          <t>ET013</t>
        </is>
      </c>
      <c r="B15" s="5" t="inlineStr">
        <is>
          <t>How is DSCA organized?</t>
        </is>
      </c>
      <c r="C15" s="5" t="inlineStr">
        <is>
          <t>DSCA, Defense Security Cooperation Agency, DoD, Department of Defense</t>
        </is>
      </c>
      <c r="D15" s="4" t="n">
        <v>4</v>
      </c>
      <c r="E15" s="4" t="inlineStr">
        <is>
          <t>ORGANIZATION</t>
        </is>
      </c>
      <c r="F15" s="6" t="inlineStr">
        <is>
          <t>CRITICAL-451</t>
        </is>
      </c>
      <c r="G15" s="5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 ht="28.8" customHeight="1" s="17">
      <c r="A16" s="4" t="inlineStr">
        <is>
          <t>ET014</t>
        </is>
      </c>
      <c r="B16" s="5" t="inlineStr">
        <is>
          <t>What is DSCA's relationship with State?</t>
        </is>
      </c>
      <c r="C16" s="5" t="inlineStr">
        <is>
          <t>DSCA, State</t>
        </is>
      </c>
      <c r="D16" s="4" t="n">
        <v>2</v>
      </c>
      <c r="E16" s="4" t="inlineStr">
        <is>
          <t>ORGANIZATION, PROGRAM</t>
        </is>
      </c>
      <c r="F16" s="6" t="inlineStr">
        <is>
          <t>CRITICAL-451</t>
        </is>
      </c>
      <c r="G16" s="5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 ht="28.8" customHeight="1" s="17">
      <c r="A17" s="4" t="inlineStr">
        <is>
          <t>ET015</t>
        </is>
      </c>
      <c r="B17" s="5" t="inlineStr">
        <is>
          <t>What programs does DSCA manage?</t>
        </is>
      </c>
      <c r="C17" s="5" t="inlineStr">
        <is>
          <t>DSCA, Defense Security Cooperation Agency, FMS, Foreign Military Sales, IMET, International Military Education and Training, SC, Security Cooperation</t>
        </is>
      </c>
      <c r="D17" s="4" t="n">
        <v>7</v>
      </c>
      <c r="E17" s="4" t="inlineStr">
        <is>
          <t>ORGANIZATION, PROGRAM, CONCEPT</t>
        </is>
      </c>
      <c r="F17" s="6" t="inlineStr">
        <is>
          <t>CRITICAL-451</t>
        </is>
      </c>
      <c r="G17" s="5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inlineStr">
        <is>
          <t>ET016</t>
        </is>
      </c>
      <c r="B18" s="5" t="inlineStr">
        <is>
          <t>Who is the Secretary of Defense?</t>
        </is>
      </c>
      <c r="C18" s="5" t="inlineStr">
        <is>
          <t>Secretary of Defense, SECDEF</t>
        </is>
      </c>
      <c r="D18" s="4" t="n">
        <v>2</v>
      </c>
      <c r="E18" s="4" t="inlineStr">
        <is>
          <t>ROLE</t>
        </is>
      </c>
      <c r="F18" s="6" t="inlineStr">
        <is>
          <t>CRITICAL-421</t>
        </is>
      </c>
      <c r="G18" s="5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inlineStr">
        <is>
          <t>ET017</t>
        </is>
      </c>
      <c r="B19" s="5" t="inlineStr">
        <is>
          <t>What is SECDEF?</t>
        </is>
      </c>
      <c r="C19" s="5" t="inlineStr">
        <is>
          <t>SECDEF, Secretary of Defense</t>
        </is>
      </c>
      <c r="D19" s="4" t="n">
        <v>2</v>
      </c>
      <c r="E19" s="4" t="inlineStr">
        <is>
          <t>ROLE</t>
        </is>
      </c>
      <c r="F19" s="6" t="inlineStr">
        <is>
          <t>CRITICAL-421</t>
        </is>
      </c>
      <c r="G19" s="5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inlineStr">
        <is>
          <t>ET018</t>
        </is>
      </c>
      <c r="B20" s="5" t="inlineStr">
        <is>
          <t>What are the responsibilities of Secretary of Defense?</t>
        </is>
      </c>
      <c r="C20" s="5" t="inlineStr">
        <is>
          <t>Secretary of Defense, SECDEF, DoD, Department of Defense</t>
        </is>
      </c>
      <c r="D20" s="4" t="n">
        <v>4</v>
      </c>
      <c r="E20" s="4" t="inlineStr">
        <is>
          <t>ROLE, ORGANIZATION</t>
        </is>
      </c>
      <c r="F20" s="6" t="inlineStr">
        <is>
          <t>CRITICAL-421</t>
        </is>
      </c>
      <c r="G20" s="5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inlineStr">
        <is>
          <t>ET019</t>
        </is>
      </c>
      <c r="B21" s="5" t="inlineStr">
        <is>
          <t>Who does the Secretary of Defense report to?</t>
        </is>
      </c>
      <c r="C21" s="5" t="inlineStr">
        <is>
          <t>Secretary of Defense, SECDEF</t>
        </is>
      </c>
      <c r="D21" s="4" t="n">
        <v>2</v>
      </c>
      <c r="E21" s="4" t="inlineStr">
        <is>
          <t>ROLE</t>
        </is>
      </c>
      <c r="F21" s="6" t="inlineStr">
        <is>
          <t>CRITICAL-421</t>
        </is>
      </c>
      <c r="G21" s="5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inlineStr">
        <is>
          <t>ET020</t>
        </is>
      </c>
      <c r="B22" s="5" t="inlineStr">
        <is>
          <t>What authority does SECDEF have for SC?</t>
        </is>
      </c>
      <c r="C22" s="5" t="inlineStr">
        <is>
          <t>SECDEF, Secretary of Defense, SC, Security Cooperation, DoDD 5132.03</t>
        </is>
      </c>
      <c r="D22" s="4" t="n">
        <v>5</v>
      </c>
      <c r="E22" s="4" t="inlineStr">
        <is>
          <t>ROLE, CONCEPT, LEGISLATION</t>
        </is>
      </c>
      <c r="F22" s="6" t="inlineStr">
        <is>
          <t>CRITICAL-421</t>
        </is>
      </c>
      <c r="G22" s="5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 ht="28.8" customHeight="1" s="17">
      <c r="A23" s="4" t="inlineStr">
        <is>
          <t>ET021</t>
        </is>
      </c>
      <c r="B23" s="5" t="inlineStr">
        <is>
          <t>How does Secretary of Defense oversee SA?</t>
        </is>
      </c>
      <c r="C23" s="5" t="inlineStr">
        <is>
          <t>Secretary of Defense, SECDEF, SA, Security Assistance, USD(P), Under Secretary of Defense for Policy</t>
        </is>
      </c>
      <c r="D23" s="4" t="n">
        <v>6</v>
      </c>
      <c r="E23" s="4" t="inlineStr">
        <is>
          <t>ROLE, PROGRAM</t>
        </is>
      </c>
      <c r="F23" s="6" t="inlineStr">
        <is>
          <t>CRITICAL-421</t>
        </is>
      </c>
      <c r="G23" s="5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 ht="28.8" customHeight="1" s="17">
      <c r="A24" s="4" t="inlineStr">
        <is>
          <t>ET022</t>
        </is>
      </c>
      <c r="B24" s="5" t="inlineStr">
        <is>
          <t>What is SECDEF's role in FMS?</t>
        </is>
      </c>
      <c r="C24" s="5" t="inlineStr">
        <is>
          <t>SECDEF, Secretary of Defense, FMS, Foreign Military Sales, DSCA, Defense Security Cooperation Agency</t>
        </is>
      </c>
      <c r="D24" s="4" t="n">
        <v>6</v>
      </c>
      <c r="E24" s="4" t="inlineStr">
        <is>
          <t>ROLE, PROGRAM, ORGANIZATION</t>
        </is>
      </c>
      <c r="F24" s="6" t="inlineStr">
        <is>
          <t>CRITICAL-421</t>
        </is>
      </c>
      <c r="G24" s="5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 ht="28.8" customHeight="1" s="17">
      <c r="A25" s="4" t="inlineStr">
        <is>
          <t>ET023</t>
        </is>
      </c>
      <c r="B25" s="5" t="inlineStr">
        <is>
          <t>Who assists the Secretary of Defense?</t>
        </is>
      </c>
      <c r="C25" s="5" t="inlineStr">
        <is>
          <t>Secretary of Defense, SECDEF, USD(P), Under Secretary of Defense for Policy, Deputy Secretary of Defense, DEPSECDEF</t>
        </is>
      </c>
      <c r="D25" s="4" t="n">
        <v>6</v>
      </c>
      <c r="E25" s="4" t="inlineStr">
        <is>
          <t>ROLE</t>
        </is>
      </c>
      <c r="F25" s="6" t="inlineStr">
        <is>
          <t>CRITICAL-421</t>
        </is>
      </c>
      <c r="G25" s="5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 ht="28.8" customHeight="1" s="17">
      <c r="A26" s="4" t="inlineStr">
        <is>
          <t>ET024</t>
        </is>
      </c>
      <c r="B26" s="5" t="inlineStr">
        <is>
          <t>What is the Secretary of Defense's authority under E.O. 13637?</t>
        </is>
      </c>
      <c r="C26" s="5" t="inlineStr">
        <is>
          <t>Secretary of Defense, SECDEF, E.O. 13637, Executive Order 13637, SA, Security Assistance</t>
        </is>
      </c>
      <c r="D26" s="4" t="n">
        <v>6</v>
      </c>
      <c r="E26" s="4" t="inlineStr">
        <is>
          <t>ROLE, LEGISLATION, PROGRAM</t>
        </is>
      </c>
      <c r="F26" s="6" t="inlineStr">
        <is>
          <t>CRITICAL-421</t>
        </is>
      </c>
      <c r="G26" s="5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 ht="28.8" customHeight="1" s="17">
      <c r="A27" s="4" t="inlineStr">
        <is>
          <t>ET025</t>
        </is>
      </c>
      <c r="B27" s="5" t="inlineStr">
        <is>
          <t>How does SECDEF delegate authority?</t>
        </is>
      </c>
      <c r="C27" s="5" t="inlineStr">
        <is>
          <t>SECDEF, Secretary of Defense, USD(P), Under Secretary of Defense for Policy, DSCA, Defense Security Cooperation Agency</t>
        </is>
      </c>
      <c r="D27" s="4" t="n">
        <v>6</v>
      </c>
      <c r="E27" s="4" t="inlineStr">
        <is>
          <t>ROLE, ORGANIZATION</t>
        </is>
      </c>
      <c r="F27" s="6" t="inlineStr">
        <is>
          <t>CRITICAL-421</t>
        </is>
      </c>
      <c r="G27" s="5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 ht="28.8" customHeight="1" s="17">
      <c r="A28" s="4" t="inlineStr">
        <is>
          <t>ET026</t>
        </is>
      </c>
      <c r="B28" s="5" t="inlineStr">
        <is>
          <t>What is Secretary of Defense's role in SC policy?</t>
        </is>
      </c>
      <c r="C28" s="5" t="inlineStr">
        <is>
          <t>Secretary of Defense, SC</t>
        </is>
      </c>
      <c r="D28" s="4" t="n">
        <v>2</v>
      </c>
      <c r="E28" s="4" t="inlineStr">
        <is>
          <t>ROLE, CONCEPT, LEGISLATION</t>
        </is>
      </c>
      <c r="F28" s="6" t="inlineStr">
        <is>
          <t>CRITICAL-421</t>
        </is>
      </c>
      <c r="G28" s="5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 ht="28.8" customHeight="1" s="17">
      <c r="A29" s="4" t="inlineStr">
        <is>
          <t>ET027</t>
        </is>
      </c>
      <c r="B29" s="5" t="inlineStr">
        <is>
          <t>Who does Secretary of Defense coordinate with?</t>
        </is>
      </c>
      <c r="C29" s="5" t="inlineStr">
        <is>
          <t>Secretary of Defense, SECDEF, Secretary of State, SECSTATE, USD(P), Under Secretary of Defense for Policy</t>
        </is>
      </c>
      <c r="D29" s="4" t="n">
        <v>6</v>
      </c>
      <c r="E29" s="4" t="inlineStr">
        <is>
          <t>ROLE</t>
        </is>
      </c>
      <c r="F29" s="6" t="inlineStr">
        <is>
          <t>CRITICAL-421</t>
        </is>
      </c>
      <c r="G29" s="5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A30" s="4" t="inlineStr">
        <is>
          <t>ET028</t>
        </is>
      </c>
      <c r="B30" s="5" t="inlineStr">
        <is>
          <t>What directives govern Secretary of Defense?</t>
        </is>
      </c>
      <c r="C30" s="5" t="inlineStr">
        <is>
          <t>Secretary of Defense, SECDEF, DoDD 5132.03, DoDD 5105.65</t>
        </is>
      </c>
      <c r="D30" s="4" t="n">
        <v>4</v>
      </c>
      <c r="E30" s="4" t="inlineStr">
        <is>
          <t>ROLE, LEGISLATION</t>
        </is>
      </c>
      <c r="F30" s="6" t="inlineStr">
        <is>
          <t>CRITICAL-421</t>
        </is>
      </c>
      <c r="G30" s="5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 ht="28.8" customHeight="1" s="17">
      <c r="A31" s="4" t="inlineStr">
        <is>
          <t>ET029</t>
        </is>
      </c>
      <c r="B31" s="5" t="inlineStr">
        <is>
          <t>How does SECDEF approve SC activities?</t>
        </is>
      </c>
      <c r="C31" s="5" t="inlineStr">
        <is>
          <t>SECDEF, Secretary of Defense, SC, Security Cooperation, CCMDs, Combatant Commands, DSCA, Defense Security Cooperation Agency</t>
        </is>
      </c>
      <c r="D31" s="4" t="n">
        <v>7</v>
      </c>
      <c r="E31" s="4" t="inlineStr">
        <is>
          <t>ROLE, CONCEPT, ORGANIZATION</t>
        </is>
      </c>
      <c r="F31" s="6" t="inlineStr">
        <is>
          <t>CRITICAL-421</t>
        </is>
      </c>
      <c r="G31" s="5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 ht="28.8" customHeight="1" s="17">
      <c r="A32" s="4" t="inlineStr">
        <is>
          <t>ET030</t>
        </is>
      </c>
      <c r="B32" s="5" t="inlineStr">
        <is>
          <t>What is the Secretary of Defense's chain of command?</t>
        </is>
      </c>
      <c r="C32" s="5" t="inlineStr">
        <is>
          <t>Secretary of Defense, SECDEF, USD(P), Under Secretary of Defense for Policy, Military Departments, CCMDs, Combatant Commands</t>
        </is>
      </c>
      <c r="D32" s="4" t="n">
        <v>7</v>
      </c>
      <c r="E32" s="4" t="inlineStr">
        <is>
          <t>ROLE, ORGANIZATION</t>
        </is>
      </c>
      <c r="F32" s="6" t="inlineStr">
        <is>
          <t>CRITICAL-421</t>
        </is>
      </c>
      <c r="G32" s="5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inlineStr">
        <is>
          <t>ET031</t>
        </is>
      </c>
      <c r="B33" s="5" t="inlineStr">
        <is>
          <t>What is DoD?</t>
        </is>
      </c>
      <c r="C33" s="5" t="inlineStr">
        <is>
          <t>DoD, Department of Defense</t>
        </is>
      </c>
      <c r="D33" s="4" t="n">
        <v>2</v>
      </c>
      <c r="E33" s="4" t="inlineStr">
        <is>
          <t>ORGANIZATION</t>
        </is>
      </c>
      <c r="F33" s="7" t="inlineStr">
        <is>
          <t>VERY HIGH-156</t>
        </is>
      </c>
      <c r="G33" s="5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inlineStr">
        <is>
          <t>ET032</t>
        </is>
      </c>
      <c r="B34" s="5" t="inlineStr">
        <is>
          <t>What does DoD stand for?</t>
        </is>
      </c>
      <c r="C34" s="5" t="inlineStr">
        <is>
          <t>DoD, Department of Defense</t>
        </is>
      </c>
      <c r="D34" s="4" t="n">
        <v>2</v>
      </c>
      <c r="E34" s="4" t="inlineStr">
        <is>
          <t>ORGANIZATION</t>
        </is>
      </c>
      <c r="F34" s="7" t="inlineStr">
        <is>
          <t>VERY HIGH-156</t>
        </is>
      </c>
      <c r="G34" s="5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inlineStr">
        <is>
          <t>ET033</t>
        </is>
      </c>
      <c r="B35" s="5" t="inlineStr">
        <is>
          <t>What is the Department of Defense's role in SC?</t>
        </is>
      </c>
      <c r="C35" s="5" t="inlineStr">
        <is>
          <t>DoD, Department of Defense, SC, Security Cooperation</t>
        </is>
      </c>
      <c r="D35" s="4" t="n">
        <v>4</v>
      </c>
      <c r="E35" s="4" t="inlineStr">
        <is>
          <t>ORGANIZATION, CONCEPT</t>
        </is>
      </c>
      <c r="F35" s="7" t="inlineStr">
        <is>
          <t>VERY HIGH-156</t>
        </is>
      </c>
      <c r="G35" s="5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 ht="28.8" customHeight="1" s="17">
      <c r="A36" s="4" t="inlineStr">
        <is>
          <t>ET034</t>
        </is>
      </c>
      <c r="B36" s="5" t="inlineStr">
        <is>
          <t>What is DoD's organizational structure?</t>
        </is>
      </c>
      <c r="C36" s="5" t="inlineStr">
        <is>
          <t>DoD, Department of Defense, Secretary of Defense, SECDEF, USD(P), Under Secretary of Defense for Policy</t>
        </is>
      </c>
      <c r="D36" s="4" t="n">
        <v>6</v>
      </c>
      <c r="E36" s="4" t="inlineStr">
        <is>
          <t>ORGANIZATION, ROLE</t>
        </is>
      </c>
      <c r="F36" s="7" t="inlineStr">
        <is>
          <t>VERY HIGH-156</t>
        </is>
      </c>
      <c r="G36" s="5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inlineStr">
        <is>
          <t>ET035</t>
        </is>
      </c>
      <c r="B37" s="5" t="inlineStr">
        <is>
          <t>What directives govern DoD SC?</t>
        </is>
      </c>
      <c r="C37" s="5" t="inlineStr">
        <is>
          <t>DoD, Department of Defense, DoDD 5132.03, DoDD 5105.65</t>
        </is>
      </c>
      <c r="D37" s="4" t="n">
        <v>4</v>
      </c>
      <c r="E37" s="4" t="inlineStr">
        <is>
          <t>ORGANIZATION, LEGISLATION</t>
        </is>
      </c>
      <c r="F37" s="7" t="inlineStr">
        <is>
          <t>VERY HIGH-156</t>
        </is>
      </c>
      <c r="G37" s="5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inlineStr">
        <is>
          <t>ET036</t>
        </is>
      </c>
      <c r="B38" s="5" t="inlineStr">
        <is>
          <t>How does DoD coordinate with State?</t>
        </is>
      </c>
      <c r="C38" s="5" t="inlineStr">
        <is>
          <t>DoD, State</t>
        </is>
      </c>
      <c r="D38" s="4" t="n">
        <v>2</v>
      </c>
      <c r="E38" s="4" t="inlineStr">
        <is>
          <t>ORGANIZATION, PROGRAM</t>
        </is>
      </c>
      <c r="F38" s="7" t="inlineStr">
        <is>
          <t>VERY HIGH-156</t>
        </is>
      </c>
      <c r="G38" s="5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inlineStr">
        <is>
          <t>ET037</t>
        </is>
      </c>
      <c r="B39" s="5" t="inlineStr">
        <is>
          <t>What are DoD's Military Departments?</t>
        </is>
      </c>
      <c r="C39" s="5" t="inlineStr">
        <is>
          <t>DoD, Military Departments</t>
        </is>
      </c>
      <c r="D39" s="4" t="n">
        <v>2</v>
      </c>
      <c r="E39" s="4" t="inlineStr">
        <is>
          <t>ORGANIZATION</t>
        </is>
      </c>
      <c r="F39" s="7" t="inlineStr">
        <is>
          <t>VERY HIGH-156</t>
        </is>
      </c>
      <c r="G39" s="5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 ht="28.8" customHeight="1" s="17">
      <c r="A40" s="4" t="inlineStr">
        <is>
          <t>ET038</t>
        </is>
      </c>
      <c r="B40" s="5" t="inlineStr">
        <is>
          <t>How does DoD execute FMS?</t>
        </is>
      </c>
      <c r="C40" s="5" t="inlineStr">
        <is>
          <t>DoD, Department of Defense, FMS, Foreign Military Sales, DSCA, Defense Security Cooperation Agency, IAs, Implementing Agencies</t>
        </is>
      </c>
      <c r="D40" s="4" t="n">
        <v>7</v>
      </c>
      <c r="E40" s="4" t="inlineStr">
        <is>
          <t>ORGANIZATION, PROGRAM</t>
        </is>
      </c>
      <c r="F40" s="7" t="inlineStr">
        <is>
          <t>VERY HIGH-156</t>
        </is>
      </c>
      <c r="G40" s="5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4" t="inlineStr">
        <is>
          <t>ET039</t>
        </is>
      </c>
      <c r="B41" s="5" t="inlineStr">
        <is>
          <t>What is DoD's SC policy?</t>
        </is>
      </c>
      <c r="C41" s="5" t="inlineStr">
        <is>
          <t>DoD, Department of Defense, SC, Security Cooperation, DoDD 5132.03</t>
        </is>
      </c>
      <c r="D41" s="4" t="n">
        <v>5</v>
      </c>
      <c r="E41" s="4" t="inlineStr">
        <is>
          <t>ORGANIZATION, CONCEPT, LEGISLATION</t>
        </is>
      </c>
      <c r="F41" s="7" t="inlineStr">
        <is>
          <t>VERY HIGH-156</t>
        </is>
      </c>
      <c r="G41" s="5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>
      <c r="A42" s="4" t="inlineStr">
        <is>
          <t>ET040</t>
        </is>
      </c>
      <c r="B42" s="5" t="inlineStr">
        <is>
          <t>Who leads DoD?</t>
        </is>
      </c>
      <c r="C42" s="5" t="inlineStr">
        <is>
          <t>DoD, Department of Defense, Secretary of Defense, SECDEF</t>
        </is>
      </c>
      <c r="D42" s="4" t="n">
        <v>4</v>
      </c>
      <c r="E42" s="4" t="inlineStr">
        <is>
          <t>ORGANIZATION, ROLE</t>
        </is>
      </c>
      <c r="F42" s="7" t="inlineStr">
        <is>
          <t>VERY HIGH-156</t>
        </is>
      </c>
      <c r="G42" s="5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4" t="inlineStr">
        <is>
          <t>ET041</t>
        </is>
      </c>
      <c r="B43" s="5" t="inlineStr">
        <is>
          <t>What is Security Cooperation?</t>
        </is>
      </c>
      <c r="C43" s="5" t="inlineStr">
        <is>
          <t>Security Cooperation, SC</t>
        </is>
      </c>
      <c r="D43" s="4" t="n">
        <v>2</v>
      </c>
      <c r="E43" s="4" t="inlineStr">
        <is>
          <t>CONCEPT</t>
        </is>
      </c>
      <c r="F43" s="7" t="inlineStr">
        <is>
          <t>VERY HIGH-112</t>
        </is>
      </c>
      <c r="G43" s="5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4" t="inlineStr">
        <is>
          <t>ET042</t>
        </is>
      </c>
      <c r="B44" s="5" t="inlineStr">
        <is>
          <t>Define SC.</t>
        </is>
      </c>
      <c r="C44" s="5" t="inlineStr">
        <is>
          <t>SC, Security Cooperation</t>
        </is>
      </c>
      <c r="D44" s="4" t="n">
        <v>2</v>
      </c>
      <c r="E44" s="4" t="inlineStr">
        <is>
          <t>CONCEPT</t>
        </is>
      </c>
      <c r="F44" s="7" t="inlineStr">
        <is>
          <t>VERY HIGH-112</t>
        </is>
      </c>
      <c r="G44" s="5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4" t="inlineStr">
        <is>
          <t>ET043</t>
        </is>
      </c>
      <c r="B45" s="5" t="inlineStr">
        <is>
          <t>What is the difference between SC and SA?</t>
        </is>
      </c>
      <c r="C45" s="5" t="inlineStr">
        <is>
          <t>SC, Security Cooperation, SA, Security Assistance</t>
        </is>
      </c>
      <c r="D45" s="4" t="n">
        <v>4</v>
      </c>
      <c r="E45" s="4" t="inlineStr">
        <is>
          <t>CONCEPT, PROGRAM</t>
        </is>
      </c>
      <c r="F45" s="7" t="inlineStr">
        <is>
          <t>VERY HIGH-112</t>
        </is>
      </c>
      <c r="G45" s="5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4" t="inlineStr">
        <is>
          <t>ET044</t>
        </is>
      </c>
      <c r="B46" s="5" t="inlineStr">
        <is>
          <t>What directive governs SC?</t>
        </is>
      </c>
      <c r="C46" s="5" t="inlineStr">
        <is>
          <t>SC, Security Cooperation, DoDD 5132.03</t>
        </is>
      </c>
      <c r="D46" s="4" t="n">
        <v>3</v>
      </c>
      <c r="E46" s="4" t="inlineStr">
        <is>
          <t>CONCEPT, LEGISLATION</t>
        </is>
      </c>
      <c r="F46" s="7" t="inlineStr">
        <is>
          <t>VERY HIGH-112</t>
        </is>
      </c>
      <c r="G46" s="5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 ht="28.8" customHeight="1" s="17">
      <c r="A47" s="4" t="inlineStr">
        <is>
          <t>ET045</t>
        </is>
      </c>
      <c r="B47" s="5" t="inlineStr">
        <is>
          <t>Who is responsible for SC policy?</t>
        </is>
      </c>
      <c r="C47" s="5" t="inlineStr">
        <is>
          <t>SC</t>
        </is>
      </c>
      <c r="D47" s="4" t="n">
        <v>1</v>
      </c>
      <c r="E47" s="4" t="inlineStr">
        <is>
          <t>CONCEPT, ROLE, ORGANIZATION</t>
        </is>
      </c>
      <c r="F47" s="7" t="inlineStr">
        <is>
          <t>VERY HIGH-112</t>
        </is>
      </c>
      <c r="G47" s="5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 ht="28.8" customHeight="1" s="17">
      <c r="A48" s="4" t="inlineStr">
        <is>
          <t>ET046</t>
        </is>
      </c>
      <c r="B48" s="5" t="inlineStr">
        <is>
          <t>How does DoD execute SC?</t>
        </is>
      </c>
      <c r="C48" s="5" t="inlineStr">
        <is>
          <t>SC, Security Cooperation, DoD, Department of Defense, DSCA, Defense Security Cooperation Agency, CCMDs, Combatant Commands</t>
        </is>
      </c>
      <c r="D48" s="4" t="n">
        <v>7</v>
      </c>
      <c r="E48" s="4" t="inlineStr">
        <is>
          <t>CONCEPT, ORGANIZATION</t>
        </is>
      </c>
      <c r="F48" s="7" t="inlineStr">
        <is>
          <t>VERY HIGH-112</t>
        </is>
      </c>
      <c r="G48" s="5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 ht="28.8" customHeight="1" s="17">
      <c r="A49" s="4" t="inlineStr">
        <is>
          <t>ET047</t>
        </is>
      </c>
      <c r="B49" s="5" t="inlineStr">
        <is>
          <t>What are SC programs?</t>
        </is>
      </c>
      <c r="C49" s="5" t="inlineStr">
        <is>
          <t>SC, Security Cooperation, FMS, Foreign Military Sales, IMET, International Military Education and Training, BPC, Building Partner Capacity</t>
        </is>
      </c>
      <c r="D49" s="4" t="n">
        <v>7</v>
      </c>
      <c r="E49" s="4" t="inlineStr">
        <is>
          <t>CONCEPT, PROGRAM</t>
        </is>
      </c>
      <c r="F49" s="7" t="inlineStr">
        <is>
          <t>VERY HIGH-112</t>
        </is>
      </c>
      <c r="G49" s="5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 ht="28.8" customHeight="1" s="17">
      <c r="A50" s="4" t="inlineStr">
        <is>
          <t>ET048</t>
        </is>
      </c>
      <c r="B50" s="5" t="inlineStr">
        <is>
          <t>What is SC's relationship to national security?</t>
        </is>
      </c>
      <c r="C50" s="5" t="inlineStr">
        <is>
          <t>SC, Security Cooperation, DoD, Department of Defense, USD(P), Under Secretary of Defense for Policy</t>
        </is>
      </c>
      <c r="D50" s="4" t="n">
        <v>6</v>
      </c>
      <c r="E50" s="4" t="inlineStr">
        <is>
          <t>CONCEPT, ORGANIZATION, ROLE</t>
        </is>
      </c>
      <c r="F50" s="7" t="inlineStr">
        <is>
          <t>VERY HIGH-112</t>
        </is>
      </c>
      <c r="G50" s="5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</row>
    <row r="51" ht="28.8" customHeight="1" s="17">
      <c r="A51" s="4" t="inlineStr">
        <is>
          <t>ET049</t>
        </is>
      </c>
      <c r="B51" s="5" t="inlineStr">
        <is>
          <t>How do CCMDs integrate SC?</t>
        </is>
      </c>
      <c r="C51" s="5" t="inlineStr">
        <is>
          <t>CCMDs, SC</t>
        </is>
      </c>
      <c r="D51" s="4" t="n">
        <v>2</v>
      </c>
      <c r="E51" s="4" t="inlineStr">
        <is>
          <t>CONCEPT, ORGANIZATION</t>
        </is>
      </c>
      <c r="F51" s="7" t="inlineStr">
        <is>
          <t>VERY HIGH-112</t>
        </is>
      </c>
      <c r="G51" s="5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 ht="28.8" customHeight="1" s="17">
      <c r="A52" s="4" t="inlineStr">
        <is>
          <t>ET050</t>
        </is>
      </c>
      <c r="B52" s="5" t="inlineStr">
        <is>
          <t>What is the GEF's role in SC?</t>
        </is>
      </c>
      <c r="C52" s="5" t="inlineStr">
        <is>
          <t>GEF, SC</t>
        </is>
      </c>
      <c r="D52" s="4" t="n">
        <v>2</v>
      </c>
      <c r="E52" s="4" t="inlineStr">
        <is>
          <t>CONCEPT, DOCUMENT, ROLE</t>
        </is>
      </c>
      <c r="F52" s="7" t="inlineStr">
        <is>
          <t>VERY HIGH-112</t>
        </is>
      </c>
      <c r="G52" s="5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</row>
    <row r="53">
      <c r="A53" s="4" t="inlineStr">
        <is>
          <t>ET051</t>
        </is>
      </c>
      <c r="B53" s="5" t="inlineStr">
        <is>
          <t>What is Security Assistance?</t>
        </is>
      </c>
      <c r="C53" s="5" t="inlineStr">
        <is>
          <t>Security Assistance, SA</t>
        </is>
      </c>
      <c r="D53" s="4" t="n">
        <v>2</v>
      </c>
      <c r="E53" s="4" t="inlineStr">
        <is>
          <t>PROGRAM</t>
        </is>
      </c>
      <c r="F53" s="8" t="inlineStr">
        <is>
          <t>HIGH-87</t>
        </is>
      </c>
      <c r="G53" s="5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</row>
    <row r="54">
      <c r="A54" s="4" t="inlineStr">
        <is>
          <t>ET052</t>
        </is>
      </c>
      <c r="B54" s="5" t="inlineStr">
        <is>
          <t>Who supervises SA programs?</t>
        </is>
      </c>
      <c r="C54" s="5" t="inlineStr">
        <is>
          <t>SA, Security Assistance, Secretary of State, SECSTATE, State, Department of State</t>
        </is>
      </c>
      <c r="D54" s="4" t="n">
        <v>5</v>
      </c>
      <c r="E54" s="4" t="inlineStr">
        <is>
          <t>PROGRAM, ROLE, ORGANIZATION</t>
        </is>
      </c>
      <c r="F54" s="8" t="inlineStr">
        <is>
          <t>HIGH-87</t>
        </is>
      </c>
      <c r="G54" s="5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</row>
    <row r="55">
      <c r="A55" s="4" t="inlineStr">
        <is>
          <t>ET053</t>
        </is>
      </c>
      <c r="B55" s="5" t="inlineStr">
        <is>
          <t>What laws govern SA?</t>
        </is>
      </c>
      <c r="C55" s="5" t="inlineStr">
        <is>
          <t>SA, Security Assistance, FAA, Foreign Assistance Act, AECA, Arms Export Control Act</t>
        </is>
      </c>
      <c r="D55" s="4" t="n">
        <v>6</v>
      </c>
      <c r="E55" s="4" t="inlineStr">
        <is>
          <t>PROGRAM, LEGISLATION</t>
        </is>
      </c>
      <c r="F55" s="8" t="inlineStr">
        <is>
          <t>HIGH-87</t>
        </is>
      </c>
      <c r="G55" s="5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</row>
    <row r="56">
      <c r="A56" s="4" t="inlineStr">
        <is>
          <t>ET054</t>
        </is>
      </c>
      <c r="B56" s="5" t="inlineStr">
        <is>
          <t>What is USD(P)?</t>
        </is>
      </c>
      <c r="C56" s="5" t="inlineStr">
        <is>
          <t>USD(P), Under Secretary of Defense for Policy</t>
        </is>
      </c>
      <c r="D56" s="4" t="n">
        <v>2</v>
      </c>
      <c r="E56" s="4" t="inlineStr">
        <is>
          <t>ROLE</t>
        </is>
      </c>
      <c r="F56" s="8" t="inlineStr">
        <is>
          <t>HIGH-38</t>
        </is>
      </c>
      <c r="G56" s="5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</row>
    <row r="57" ht="28.8" customHeight="1" s="17">
      <c r="A57" s="4" t="inlineStr">
        <is>
          <t>ET055</t>
        </is>
      </c>
      <c r="B57" s="5" t="inlineStr">
        <is>
          <t>What are USD(P)'s responsibilities?</t>
        </is>
      </c>
      <c r="C57" s="5" t="inlineStr">
        <is>
          <t>USD(P), Under Secretary of Defense for Policy, SC, Security Cooperation, DoD, Department of Defense</t>
        </is>
      </c>
      <c r="D57" s="4" t="n">
        <v>6</v>
      </c>
      <c r="E57" s="4" t="inlineStr">
        <is>
          <t>ROLE, CONCEPT, ORGANIZATION</t>
        </is>
      </c>
      <c r="F57" s="8" t="inlineStr">
        <is>
          <t>HIGH-38</t>
        </is>
      </c>
      <c r="G57" s="5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</row>
    <row r="58" ht="28.8" customHeight="1" s="17">
      <c r="A58" s="4" t="inlineStr">
        <is>
          <t>ET056</t>
        </is>
      </c>
      <c r="B58" s="5" t="inlineStr">
        <is>
          <t>How does USD(P) support DSCA?</t>
        </is>
      </c>
      <c r="C58" s="5" t="inlineStr">
        <is>
          <t>USD(P), Under Secretary of Defense for Policy, DSCA, Defense Security Cooperation Agency, SC, Security Cooperation</t>
        </is>
      </c>
      <c r="D58" s="4" t="n">
        <v>6</v>
      </c>
      <c r="E58" s="4" t="inlineStr">
        <is>
          <t>ROLE, ORGANIZATION, CONCEPT</t>
        </is>
      </c>
      <c r="F58" s="8" t="inlineStr">
        <is>
          <t>HIGH-38</t>
        </is>
      </c>
      <c r="G58" s="5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</row>
    <row r="59">
      <c r="A59" s="4" t="inlineStr">
        <is>
          <t>ET057</t>
        </is>
      </c>
      <c r="B59" s="5" t="inlineStr">
        <is>
          <t>Who is the Secretary of State?</t>
        </is>
      </c>
      <c r="C59" s="5" t="inlineStr">
        <is>
          <t>Secretary of State, SECSTATE</t>
        </is>
      </c>
      <c r="D59" s="4" t="n">
        <v>2</v>
      </c>
      <c r="E59" s="4" t="inlineStr">
        <is>
          <t>ROLE</t>
        </is>
      </c>
      <c r="F59" s="8" t="inlineStr">
        <is>
          <t>HIGH-35</t>
        </is>
      </c>
      <c r="G59" s="5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</row>
    <row r="60">
      <c r="A60" s="4" t="inlineStr">
        <is>
          <t>ET058</t>
        </is>
      </c>
      <c r="B60" s="5" t="inlineStr">
        <is>
          <t>What is SECSTATE's role in SA?</t>
        </is>
      </c>
      <c r="C60" s="5" t="inlineStr">
        <is>
          <t>SECSTATE, SA</t>
        </is>
      </c>
      <c r="D60" s="4" t="n">
        <v>2</v>
      </c>
      <c r="E60" s="4" t="inlineStr">
        <is>
          <t>ROLE, PROGRAM, ORGANIZATION</t>
        </is>
      </c>
      <c r="F60" s="8" t="inlineStr">
        <is>
          <t>HIGH-35</t>
        </is>
      </c>
      <c r="G60" s="5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 ht="28.8" customHeight="1" s="17">
      <c r="A61" s="4" t="inlineStr">
        <is>
          <t>ET059</t>
        </is>
      </c>
      <c r="B61" s="5" t="inlineStr">
        <is>
          <t>What authority does Secretary of State have?</t>
        </is>
      </c>
      <c r="C61" s="5" t="inlineStr">
        <is>
          <t>Secretary of State, SECSTATE, FAA, Foreign Assistance Act, AECA, Arms Export Control Act</t>
        </is>
      </c>
      <c r="D61" s="4" t="n">
        <v>5</v>
      </c>
      <c r="E61" s="4" t="inlineStr">
        <is>
          <t>ROLE, LEGISLATION</t>
        </is>
      </c>
      <c r="F61" s="8" t="inlineStr">
        <is>
          <t>HIGH-35</t>
        </is>
      </c>
      <c r="G61" s="5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A62" s="4" t="inlineStr">
        <is>
          <t>ET060</t>
        </is>
      </c>
      <c r="B62" s="5" t="inlineStr">
        <is>
          <t>What is the Department of State?</t>
        </is>
      </c>
      <c r="C62" s="5" t="inlineStr">
        <is>
          <t>Department of State, State</t>
        </is>
      </c>
      <c r="D62" s="4" t="n">
        <v>2</v>
      </c>
      <c r="E62" s="4" t="inlineStr">
        <is>
          <t>ORGANIZATION</t>
        </is>
      </c>
      <c r="F62" s="8" t="inlineStr">
        <is>
          <t>HIGH-28</t>
        </is>
      </c>
      <c r="G62" s="5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>
      <c r="A63" s="4" t="inlineStr">
        <is>
          <t>ET061</t>
        </is>
      </c>
      <c r="B63" s="5" t="inlineStr">
        <is>
          <t>What is State's role in SC?</t>
        </is>
      </c>
      <c r="C63" s="5" t="inlineStr">
        <is>
          <t>State, SC</t>
        </is>
      </c>
      <c r="D63" s="4" t="n">
        <v>2</v>
      </c>
      <c r="E63" s="4" t="inlineStr">
        <is>
          <t>ORGANIZATION, CONCEPT, PROGRAM</t>
        </is>
      </c>
      <c r="F63" s="8" t="inlineStr">
        <is>
          <t>HIGH-28</t>
        </is>
      </c>
      <c r="G63" s="5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>
      <c r="A64" s="4" t="inlineStr">
        <is>
          <t>ET062</t>
        </is>
      </c>
      <c r="B64" s="5" t="inlineStr">
        <is>
          <t>How does State approve SA?</t>
        </is>
      </c>
      <c r="C64" s="5" t="inlineStr">
        <is>
          <t>State, SA</t>
        </is>
      </c>
      <c r="D64" s="4" t="n">
        <v>2</v>
      </c>
      <c r="E64" s="4" t="inlineStr">
        <is>
          <t>ORGANIZATION, PROGRAM, LEGISLATION</t>
        </is>
      </c>
      <c r="F64" s="8" t="inlineStr">
        <is>
          <t>HIGH-28</t>
        </is>
      </c>
      <c r="G64" s="5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</row>
    <row r="65">
      <c r="A65" s="4" t="inlineStr">
        <is>
          <t>ET063</t>
        </is>
      </c>
      <c r="B65" s="5" t="inlineStr">
        <is>
          <t>What is FMS?</t>
        </is>
      </c>
      <c r="C65" s="5" t="inlineStr">
        <is>
          <t>FMS, Foreign Military Sales</t>
        </is>
      </c>
      <c r="D65" s="4" t="n">
        <v>2</v>
      </c>
      <c r="E65" s="4" t="inlineStr">
        <is>
          <t>PROGRAM</t>
        </is>
      </c>
      <c r="F65" s="8" t="inlineStr">
        <is>
          <t>HIGH-24</t>
        </is>
      </c>
      <c r="G65" s="5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</row>
    <row r="66" ht="28.8" customHeight="1" s="17">
      <c r="A66" s="4" t="inlineStr">
        <is>
          <t>ET064</t>
        </is>
      </c>
      <c r="B66" s="5" t="inlineStr">
        <is>
          <t>How does FMS work?</t>
        </is>
      </c>
      <c r="C66" s="5" t="inlineStr">
        <is>
          <t>FMS, Foreign Military Sales, State, Department of State, DoD, Department of Defense, DSCA, Defense Security Cooperation Agency</t>
        </is>
      </c>
      <c r="D66" s="4" t="n">
        <v>7</v>
      </c>
      <c r="E66" s="4" t="inlineStr">
        <is>
          <t>PROGRAM, ORGANIZATION</t>
        </is>
      </c>
      <c r="F66" s="8" t="inlineStr">
        <is>
          <t>HIGH-24</t>
        </is>
      </c>
      <c r="G66" s="5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</row>
    <row r="67" ht="28.8" customHeight="1" s="17">
      <c r="A67" s="4" t="inlineStr">
        <is>
          <t>ET065</t>
        </is>
      </c>
      <c r="B67" s="5" t="inlineStr">
        <is>
          <t>What laws govern FMS?</t>
        </is>
      </c>
      <c r="C67" s="5" t="inlineStr">
        <is>
          <t>FMS, Foreign Military Sales, FAA, Foreign Assistance Act, AECA, Arms Export Control Act</t>
        </is>
      </c>
      <c r="D67" s="4" t="n">
        <v>6</v>
      </c>
      <c r="E67" s="4" t="inlineStr">
        <is>
          <t>PROGRAM, LEGISLATION</t>
        </is>
      </c>
      <c r="F67" s="8" t="inlineStr">
        <is>
          <t>HIGH-24</t>
        </is>
      </c>
      <c r="G67" s="5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</row>
    <row r="68">
      <c r="A68" s="4" t="inlineStr">
        <is>
          <t>ET066</t>
        </is>
      </c>
      <c r="B68" s="5" t="inlineStr">
        <is>
          <t>What are Combatant Commands?</t>
        </is>
      </c>
      <c r="C68" s="5" t="inlineStr">
        <is>
          <t>Combatant Commands</t>
        </is>
      </c>
      <c r="D68" s="4" t="n">
        <v>1</v>
      </c>
      <c r="E68" s="4" t="inlineStr">
        <is>
          <t>ORGANIZATION</t>
        </is>
      </c>
      <c r="F68" s="8" t="inlineStr">
        <is>
          <t>HIGH-22</t>
        </is>
      </c>
      <c r="G68" s="5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</row>
    <row r="69" ht="28.8" customHeight="1" s="17">
      <c r="A69" s="4" t="inlineStr">
        <is>
          <t>ET067</t>
        </is>
      </c>
      <c r="B69" s="5" t="inlineStr">
        <is>
          <t>How do CCMDs execute SC?</t>
        </is>
      </c>
      <c r="C69" s="5" t="inlineStr">
        <is>
          <t>CCMDs, SC</t>
        </is>
      </c>
      <c r="D69" s="4" t="n">
        <v>2</v>
      </c>
      <c r="E69" s="4" t="inlineStr">
        <is>
          <t>ORGANIZATION, CONCEPT</t>
        </is>
      </c>
      <c r="F69" s="8" t="inlineStr">
        <is>
          <t>HIGH-22</t>
        </is>
      </c>
      <c r="G69" s="5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</row>
    <row r="70" ht="28.8" customHeight="1" s="17">
      <c r="A70" s="4" t="inlineStr">
        <is>
          <t>ET068</t>
        </is>
      </c>
      <c r="B70" s="5" t="inlineStr">
        <is>
          <t>Who commands the CCMDs?</t>
        </is>
      </c>
      <c r="C70" s="5" t="inlineStr">
        <is>
          <t>CCMDs</t>
        </is>
      </c>
      <c r="D70" s="4" t="n">
        <v>1</v>
      </c>
      <c r="E70" s="4" t="inlineStr">
        <is>
          <t>ORGANIZATION, ROLE</t>
        </is>
      </c>
      <c r="F70" s="8" t="inlineStr">
        <is>
          <t>HIGH-22</t>
        </is>
      </c>
      <c r="G70" s="5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</row>
    <row r="71">
      <c r="A71" s="4" t="inlineStr">
        <is>
          <t>ET069</t>
        </is>
      </c>
      <c r="B71" s="5" t="inlineStr">
        <is>
          <t>What is USD(A&amp;S)?</t>
        </is>
      </c>
      <c r="C71" s="5" t="inlineStr">
        <is>
          <t>USD(A&amp;S), Under Secretary of Defense for Acquisition and Sustainment</t>
        </is>
      </c>
      <c r="D71" s="4" t="n">
        <v>2</v>
      </c>
      <c r="E71" s="4" t="inlineStr">
        <is>
          <t>ROLE</t>
        </is>
      </c>
      <c r="F71" s="8" t="inlineStr">
        <is>
          <t>HIGH-21</t>
        </is>
      </c>
      <c r="G71" s="5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</row>
    <row r="72" ht="28.8" customHeight="1" s="17">
      <c r="A72" s="4" t="inlineStr">
        <is>
          <t>ET070</t>
        </is>
      </c>
      <c r="B72" s="5" t="inlineStr">
        <is>
          <t>What is USD(A&amp;S)'s role in SC?</t>
        </is>
      </c>
      <c r="C72" s="5" t="inlineStr">
        <is>
          <t>USD(A&amp;S), Under Secretary of Defense for Acquisition and Sustainment, SC, Security Cooperation, DoD, Department of Defense</t>
        </is>
      </c>
      <c r="D72" s="4" t="n">
        <v>6</v>
      </c>
      <c r="E72" s="4" t="inlineStr">
        <is>
          <t>ROLE, CONCEPT, ORGANIZATION</t>
        </is>
      </c>
      <c r="F72" s="8" t="inlineStr">
        <is>
          <t>HIGH-21</t>
        </is>
      </c>
      <c r="G72" s="5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</row>
    <row r="73" ht="28.8" customHeight="1" s="17">
      <c r="A73" s="4" t="inlineStr">
        <is>
          <t>ET071</t>
        </is>
      </c>
      <c r="B73" s="5" t="inlineStr">
        <is>
          <t>How does USD(A&amp;S) support FMS?</t>
        </is>
      </c>
      <c r="C73" s="5" t="inlineStr">
        <is>
          <t>USD(A&amp;S), Under Secretary of Defense for Acquisition and Sustainment, FMS, Foreign Military Sales, DSCA, Defense Security Cooperation Agency</t>
        </is>
      </c>
      <c r="D73" s="4" t="n">
        <v>6</v>
      </c>
      <c r="E73" s="4" t="inlineStr">
        <is>
          <t>ROLE, PROGRAM, ORGANIZATION</t>
        </is>
      </c>
      <c r="F73" s="8" t="inlineStr">
        <is>
          <t>HIGH-21</t>
        </is>
      </c>
      <c r="G73" s="5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</row>
    <row r="74">
      <c r="A74" s="4" t="inlineStr">
        <is>
          <t>ET072</t>
        </is>
      </c>
      <c r="B74" s="5" t="inlineStr">
        <is>
          <t>What is the FAA?</t>
        </is>
      </c>
      <c r="C74" s="5" t="inlineStr">
        <is>
          <t>FAA, Foreign Assistance Act</t>
        </is>
      </c>
      <c r="D74" s="4" t="n">
        <v>2</v>
      </c>
      <c r="E74" s="4" t="inlineStr">
        <is>
          <t>LEGISLATION</t>
        </is>
      </c>
      <c r="F74" s="8" t="inlineStr">
        <is>
          <t>HIGH-19</t>
        </is>
      </c>
      <c r="G74" s="5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</row>
    <row r="75">
      <c r="A75" s="4" t="inlineStr">
        <is>
          <t>ET073</t>
        </is>
      </c>
      <c r="B75" s="5" t="inlineStr">
        <is>
          <t>What does FAA authorize?</t>
        </is>
      </c>
      <c r="C75" s="5" t="inlineStr">
        <is>
          <t>FAA, Foreign Assistance Act, SA, Security Assistance, State, Department of State</t>
        </is>
      </c>
      <c r="D75" s="4" t="n">
        <v>5</v>
      </c>
      <c r="E75" s="4" t="inlineStr">
        <is>
          <t>LEGISLATION, PROGRAM, ORGANIZATION</t>
        </is>
      </c>
      <c r="F75" s="8" t="inlineStr">
        <is>
          <t>HIGH-19</t>
        </is>
      </c>
      <c r="G75" s="5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</row>
    <row r="76">
      <c r="A76" s="4" t="inlineStr">
        <is>
          <t>ET074</t>
        </is>
      </c>
      <c r="B76" s="5" t="inlineStr">
        <is>
          <t>What is FAA section 503?</t>
        </is>
      </c>
      <c r="C76" s="5" t="inlineStr">
        <is>
          <t>FAA, section 503</t>
        </is>
      </c>
      <c r="D76" s="4" t="n">
        <v>2</v>
      </c>
      <c r="E76" s="4" t="inlineStr">
        <is>
          <t>LEGISLATION, PROGRAM</t>
        </is>
      </c>
      <c r="F76" s="8" t="inlineStr">
        <is>
          <t>HIGH-19</t>
        </is>
      </c>
      <c r="G76" s="5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</row>
    <row r="77">
      <c r="A77" s="4" t="inlineStr">
        <is>
          <t>ET075</t>
        </is>
      </c>
      <c r="B77" s="5" t="inlineStr">
        <is>
          <t>What are Military Departments?</t>
        </is>
      </c>
      <c r="C77" s="5" t="inlineStr">
        <is>
          <t>Military Departments</t>
        </is>
      </c>
      <c r="D77" s="4" t="n">
        <v>1</v>
      </c>
      <c r="E77" s="4" t="inlineStr">
        <is>
          <t>ORGANIZATION</t>
        </is>
      </c>
      <c r="F77" s="8" t="inlineStr">
        <is>
          <t>HIGH-18</t>
        </is>
      </c>
      <c r="G77" s="5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</row>
    <row r="78" ht="28.8" customHeight="1" s="17">
      <c r="A78" s="4" t="inlineStr">
        <is>
          <t>ET076</t>
        </is>
      </c>
      <c r="B78" s="5" t="inlineStr">
        <is>
          <t>How do Military Departments support SC?</t>
        </is>
      </c>
      <c r="C78" s="5" t="inlineStr">
        <is>
          <t>Military Departments, SC</t>
        </is>
      </c>
      <c r="D78" s="4" t="n">
        <v>2</v>
      </c>
      <c r="E78" s="4" t="inlineStr">
        <is>
          <t>ORGANIZATION, CONCEPT</t>
        </is>
      </c>
      <c r="F78" s="8" t="inlineStr">
        <is>
          <t>HIGH-18</t>
        </is>
      </c>
      <c r="G78" s="5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</row>
    <row r="79">
      <c r="A79" s="4" t="inlineStr">
        <is>
          <t>ET077</t>
        </is>
      </c>
      <c r="B79" s="5" t="inlineStr">
        <is>
          <t>What are the IAs in Military Departments?</t>
        </is>
      </c>
      <c r="C79" s="5" t="inlineStr">
        <is>
          <t>IAs, Military Departments</t>
        </is>
      </c>
      <c r="D79" s="4" t="n">
        <v>2</v>
      </c>
      <c r="E79" s="4" t="inlineStr">
        <is>
          <t>ORGANIZATION</t>
        </is>
      </c>
      <c r="F79" s="8" t="inlineStr">
        <is>
          <t>HIGH-18</t>
        </is>
      </c>
      <c r="G79" s="5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</row>
    <row r="80">
      <c r="A80" s="4" t="inlineStr">
        <is>
          <t>ET078</t>
        </is>
      </c>
      <c r="B80" s="5" t="inlineStr">
        <is>
          <t>What is AECA?</t>
        </is>
      </c>
      <c r="C80" s="5" t="inlineStr">
        <is>
          <t>AECA, Arms Export Control Act</t>
        </is>
      </c>
      <c r="D80" s="4" t="n">
        <v>2</v>
      </c>
      <c r="E80" s="4" t="inlineStr">
        <is>
          <t>LEGISLATION</t>
        </is>
      </c>
      <c r="F80" s="8" t="inlineStr">
        <is>
          <t>HIGH-17</t>
        </is>
      </c>
      <c r="G80" s="5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</row>
    <row r="81" ht="28.8" customHeight="1" s="17">
      <c r="A81" s="4" t="inlineStr">
        <is>
          <t>ET079</t>
        </is>
      </c>
      <c r="B81" s="5" t="inlineStr">
        <is>
          <t>What does AECA require?</t>
        </is>
      </c>
      <c r="C81" s="5" t="inlineStr">
        <is>
          <t>AECA, Arms Export Control Act, State, Department of State, FMS, Foreign Military Sales</t>
        </is>
      </c>
      <c r="D81" s="4" t="n">
        <v>5</v>
      </c>
      <c r="E81" s="4" t="inlineStr">
        <is>
          <t>LEGISLATION, ORGANIZATION, PROGRAM</t>
        </is>
      </c>
      <c r="F81" s="8" t="inlineStr">
        <is>
          <t>HIGH-17</t>
        </is>
      </c>
      <c r="G81" s="5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</row>
    <row r="82">
      <c r="A82" s="4" t="inlineStr">
        <is>
          <t>ET080</t>
        </is>
      </c>
      <c r="B82" s="5" t="inlineStr">
        <is>
          <t>How does AECA relate to FAA?</t>
        </is>
      </c>
      <c r="C82" s="5" t="inlineStr">
        <is>
          <t>AECA, Arms Export Control Act, FAA, Foreign Assistance Act, SA, Security Assistance</t>
        </is>
      </c>
      <c r="D82" s="4" t="n">
        <v>6</v>
      </c>
      <c r="E82" s="4" t="inlineStr">
        <is>
          <t>LEGISLATION, PROGRAM</t>
        </is>
      </c>
      <c r="F82" s="8" t="inlineStr">
        <is>
          <t>HIGH-17</t>
        </is>
      </c>
      <c r="G82" s="5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</row>
    <row r="83">
      <c r="A83" s="4" t="inlineStr">
        <is>
          <t>ET081</t>
        </is>
      </c>
      <c r="B83" s="5" t="inlineStr">
        <is>
          <t>What is DoD Directive 5105.65?</t>
        </is>
      </c>
      <c r="C83" s="5" t="inlineStr">
        <is>
          <t>DoD Directive 5105.65</t>
        </is>
      </c>
      <c r="D83" s="4" t="n">
        <v>1</v>
      </c>
      <c r="E83" s="4" t="inlineStr">
        <is>
          <t>LEGISLATION</t>
        </is>
      </c>
      <c r="F83" s="9" t="inlineStr">
        <is>
          <t>MEDIUM-16</t>
        </is>
      </c>
      <c r="G83" s="5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</row>
    <row r="84">
      <c r="A84" s="4" t="inlineStr">
        <is>
          <t>ET082</t>
        </is>
      </c>
      <c r="B84" s="5" t="inlineStr">
        <is>
          <t>What does DoDD 5105.65 establish?</t>
        </is>
      </c>
      <c r="C84" s="5" t="inlineStr">
        <is>
          <t>DoDD 5105.65</t>
        </is>
      </c>
      <c r="D84" s="4" t="n">
        <v>1</v>
      </c>
      <c r="E84" s="4" t="inlineStr">
        <is>
          <t>LEGISLATION, ORGANIZATION</t>
        </is>
      </c>
      <c r="F84" s="9" t="inlineStr">
        <is>
          <t>MEDIUM-16</t>
        </is>
      </c>
      <c r="G84" s="5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</row>
    <row r="85" ht="28.8" customHeight="1" s="17">
      <c r="A85" s="4" t="inlineStr">
        <is>
          <t>ET083</t>
        </is>
      </c>
      <c r="B85" s="5" t="inlineStr">
        <is>
          <t>What authority is in DoDD 5105.65?</t>
        </is>
      </c>
      <c r="C85" s="5" t="inlineStr">
        <is>
          <t>DoDD 5105.65</t>
        </is>
      </c>
      <c r="D85" s="4" t="n">
        <v>1</v>
      </c>
      <c r="E85" s="4" t="inlineStr">
        <is>
          <t>LEGISLATION, ROLE, ORGANIZATION</t>
        </is>
      </c>
      <c r="F85" s="9" t="inlineStr">
        <is>
          <t>MEDIUM-16</t>
        </is>
      </c>
      <c r="G85" s="5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</row>
    <row r="86" ht="28.8" customHeight="1" s="17">
      <c r="A86" s="4" t="inlineStr">
        <is>
          <t>ET084</t>
        </is>
      </c>
      <c r="B86" s="5" t="inlineStr">
        <is>
          <t>How does DoDD 5105.65 define DSCA's role?</t>
        </is>
      </c>
      <c r="C86" s="5" t="inlineStr">
        <is>
          <t>DoDD 5105.65, DSCA</t>
        </is>
      </c>
      <c r="D86" s="4" t="n">
        <v>2</v>
      </c>
      <c r="E86" s="4" t="inlineStr">
        <is>
          <t>LEGISLATION, ORGANIZATION, CONCEPT</t>
        </is>
      </c>
      <c r="F86" s="9" t="inlineStr">
        <is>
          <t>MEDIUM-16</t>
        </is>
      </c>
      <c r="G86" s="5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</row>
    <row r="87">
      <c r="A87" s="4" t="inlineStr">
        <is>
          <t>ET085</t>
        </is>
      </c>
      <c r="B87" s="5" t="inlineStr">
        <is>
          <t>What is DoD Directive 5132.03?</t>
        </is>
      </c>
      <c r="C87" s="5" t="inlineStr">
        <is>
          <t>DoD Directive 5132.03</t>
        </is>
      </c>
      <c r="D87" s="4" t="n">
        <v>1</v>
      </c>
      <c r="E87" s="4" t="inlineStr">
        <is>
          <t>LEGISLATION</t>
        </is>
      </c>
      <c r="F87" s="9" t="inlineStr">
        <is>
          <t>MEDIUM-15</t>
        </is>
      </c>
      <c r="G87" s="5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</row>
    <row r="88" ht="28.8" customHeight="1" s="17">
      <c r="A88" s="4" t="inlineStr">
        <is>
          <t>ET086</t>
        </is>
      </c>
      <c r="B88" s="5" t="inlineStr">
        <is>
          <t>What does DoDD 5132.03 establish?</t>
        </is>
      </c>
      <c r="C88" s="5" t="inlineStr">
        <is>
          <t>DoDD 5132.03</t>
        </is>
      </c>
      <c r="D88" s="4" t="n">
        <v>1</v>
      </c>
      <c r="E88" s="4" t="inlineStr">
        <is>
          <t>LEGISLATION, CONCEPT, ORGANIZATION</t>
        </is>
      </c>
      <c r="F88" s="9" t="inlineStr">
        <is>
          <t>MEDIUM-15</t>
        </is>
      </c>
      <c r="G88" s="5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</row>
    <row r="89" ht="28.8" customHeight="1" s="17">
      <c r="A89" s="4" t="inlineStr">
        <is>
          <t>ET087</t>
        </is>
      </c>
      <c r="B89" s="5" t="inlineStr">
        <is>
          <t>Who has authority under DoDD 5132.03?</t>
        </is>
      </c>
      <c r="C89" s="5" t="inlineStr">
        <is>
          <t>DoDD 5132.03</t>
        </is>
      </c>
      <c r="D89" s="4" t="n">
        <v>1</v>
      </c>
      <c r="E89" s="4" t="inlineStr">
        <is>
          <t>LEGISLATION, ROLE</t>
        </is>
      </c>
      <c r="F89" s="9" t="inlineStr">
        <is>
          <t>MEDIUM-15</t>
        </is>
      </c>
      <c r="G89" s="5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</row>
    <row r="90" ht="28.8" customHeight="1" s="17">
      <c r="A90" s="4" t="inlineStr">
        <is>
          <t>ET088</t>
        </is>
      </c>
      <c r="B90" s="5" t="inlineStr">
        <is>
          <t>What is DoD's SC policy per DoDD 5132.03?</t>
        </is>
      </c>
      <c r="C90" s="5" t="inlineStr">
        <is>
          <t>DoD, SC, DoDD 5132.03</t>
        </is>
      </c>
      <c r="D90" s="4" t="n">
        <v>3</v>
      </c>
      <c r="E90" s="4" t="inlineStr">
        <is>
          <t>LEGISLATION, CONCEPT, ROLE</t>
        </is>
      </c>
      <c r="F90" s="9" t="inlineStr">
        <is>
          <t>MEDIUM-15</t>
        </is>
      </c>
      <c r="G90" s="5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</row>
    <row r="91">
      <c r="A91" s="4" t="inlineStr">
        <is>
          <t>ET089</t>
        </is>
      </c>
      <c r="B91" s="5" t="inlineStr">
        <is>
          <t>What is Executive Order 13637?</t>
        </is>
      </c>
      <c r="C91" s="5" t="inlineStr">
        <is>
          <t>Executive Order 13637</t>
        </is>
      </c>
      <c r="D91" s="4" t="n">
        <v>1</v>
      </c>
      <c r="E91" s="4" t="inlineStr">
        <is>
          <t>LEGISLATION</t>
        </is>
      </c>
      <c r="F91" s="9" t="inlineStr">
        <is>
          <t>MEDIUM-14</t>
        </is>
      </c>
      <c r="G91" s="5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</row>
    <row r="92" ht="28.8" customHeight="1" s="17">
      <c r="A92" s="4" t="inlineStr">
        <is>
          <t>ET090</t>
        </is>
      </c>
      <c r="B92" s="5" t="inlineStr">
        <is>
          <t>What does E.O. 13637 delegate?</t>
        </is>
      </c>
      <c r="C92" s="5" t="inlineStr">
        <is>
          <t>E.O. 13637, Executive Order 13637, Secretary of Defense, SECDEF, Secretary of State, SECSTATE</t>
        </is>
      </c>
      <c r="D92" s="4" t="n">
        <v>6</v>
      </c>
      <c r="E92" s="4" t="inlineStr">
        <is>
          <t>LEGISLATION, ROLE</t>
        </is>
      </c>
      <c r="F92" s="9" t="inlineStr">
        <is>
          <t>MEDIUM-14</t>
        </is>
      </c>
      <c r="G92" s="5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</row>
    <row r="93" ht="28.8" customHeight="1" s="17">
      <c r="A93" s="4" t="inlineStr">
        <is>
          <t>ET091</t>
        </is>
      </c>
      <c r="B93" s="5" t="inlineStr">
        <is>
          <t>How does E.O. 13637 affect SA?</t>
        </is>
      </c>
      <c r="C93" s="5" t="inlineStr">
        <is>
          <t>E.O. 13637, Executive Order 13637, SA, Security Assistance, SECDEF, Secretary of Defense</t>
        </is>
      </c>
      <c r="D93" s="4" t="n">
        <v>6</v>
      </c>
      <c r="E93" s="4" t="inlineStr">
        <is>
          <t>LEGISLATION, PROGRAM, ROLE</t>
        </is>
      </c>
      <c r="F93" s="9" t="inlineStr">
        <is>
          <t>MEDIUM-14</t>
        </is>
      </c>
      <c r="G93" s="5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</row>
    <row r="94">
      <c r="A94" s="4" t="inlineStr">
        <is>
          <t>ET092</t>
        </is>
      </c>
      <c r="B94" s="5" t="inlineStr">
        <is>
          <t>What are Implementing Agencies?</t>
        </is>
      </c>
      <c r="C94" s="5" t="inlineStr">
        <is>
          <t>Implementing Agencies</t>
        </is>
      </c>
      <c r="D94" s="4" t="n">
        <v>1</v>
      </c>
      <c r="E94" s="4" t="inlineStr">
        <is>
          <t>ORGANIZATION</t>
        </is>
      </c>
      <c r="F94" s="9" t="inlineStr">
        <is>
          <t>MEDIUM-13</t>
        </is>
      </c>
      <c r="G94" s="5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</row>
    <row r="95" ht="28.8" customHeight="1" s="17">
      <c r="A95" s="4" t="inlineStr">
        <is>
          <t>ET093</t>
        </is>
      </c>
      <c r="B95" s="5" t="inlineStr">
        <is>
          <t>Which agencies are IAs?</t>
        </is>
      </c>
      <c r="C95" s="5" t="inlineStr">
        <is>
          <t>IAs</t>
        </is>
      </c>
      <c r="D95" s="4" t="n">
        <v>1</v>
      </c>
      <c r="E95" s="4" t="inlineStr">
        <is>
          <t>ORGANIZATION</t>
        </is>
      </c>
      <c r="F95" s="9" t="inlineStr">
        <is>
          <t>MEDIUM-13</t>
        </is>
      </c>
      <c r="G95" s="5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</row>
    <row r="96" ht="28.8" customHeight="1" s="17">
      <c r="A96" s="4" t="inlineStr">
        <is>
          <t>ET094</t>
        </is>
      </c>
      <c r="B96" s="5" t="inlineStr">
        <is>
          <t>What do IAs do for SC?</t>
        </is>
      </c>
      <c r="C96" s="5" t="inlineStr">
        <is>
          <t>IAs, SC</t>
        </is>
      </c>
      <c r="D96" s="4" t="n">
        <v>2</v>
      </c>
      <c r="E96" s="4" t="inlineStr">
        <is>
          <t>ORGANIZATION, CONCEPT, PROGRAM</t>
        </is>
      </c>
      <c r="F96" s="9" t="inlineStr">
        <is>
          <t>MEDIUM-13</t>
        </is>
      </c>
      <c r="G96" s="5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</row>
    <row r="97">
      <c r="A97" s="4" t="inlineStr">
        <is>
          <t>ET095</t>
        </is>
      </c>
      <c r="B97" s="5" t="inlineStr">
        <is>
          <t>What is Joint Chiefs of Staff?</t>
        </is>
      </c>
      <c r="C97" s="5" t="inlineStr">
        <is>
          <t>Joint Chiefs of Staff, CJCS, Chairman of the Joint Chiefs of Staff</t>
        </is>
      </c>
      <c r="D97" s="4" t="n">
        <v>3</v>
      </c>
      <c r="E97" s="4" t="inlineStr">
        <is>
          <t>ORGANIZATION, ROLE</t>
        </is>
      </c>
      <c r="F97" s="9" t="inlineStr">
        <is>
          <t>MEDIUM-12</t>
        </is>
      </c>
      <c r="G97" s="5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</row>
    <row r="98" ht="28.8" customHeight="1" s="17">
      <c r="A98" s="4" t="inlineStr">
        <is>
          <t>ET096</t>
        </is>
      </c>
      <c r="B98" s="5" t="inlineStr">
        <is>
          <t>What is the role of Joint Chiefs in SC?</t>
        </is>
      </c>
      <c r="C98" s="5" t="inlineStr">
        <is>
          <t>Joint Chiefs, SC</t>
        </is>
      </c>
      <c r="D98" s="4" t="n">
        <v>2</v>
      </c>
      <c r="E98" s="4" t="inlineStr">
        <is>
          <t>ORGANIZATION, ROLE, CONCEPT</t>
        </is>
      </c>
      <c r="F98" s="9" t="inlineStr">
        <is>
          <t>MEDIUM-12</t>
        </is>
      </c>
      <c r="G98" s="5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</row>
    <row r="99" ht="28.8" customHeight="1" s="17">
      <c r="A99" s="4" t="inlineStr">
        <is>
          <t>ET097</t>
        </is>
      </c>
      <c r="B99" s="5" t="inlineStr">
        <is>
          <t>How do Joint Chiefs support CCMDs?</t>
        </is>
      </c>
      <c r="C99" s="5" t="inlineStr">
        <is>
          <t>Joint Chiefs, CCMDs</t>
        </is>
      </c>
      <c r="D99" s="4" t="n">
        <v>2</v>
      </c>
      <c r="E99" s="4" t="inlineStr">
        <is>
          <t>ORGANIZATION, ROLE</t>
        </is>
      </c>
      <c r="F99" s="9" t="inlineStr">
        <is>
          <t>MEDIUM-12</t>
        </is>
      </c>
      <c r="G99" s="5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</row>
    <row r="100">
      <c r="A100" s="4" t="inlineStr">
        <is>
          <t>ET098</t>
        </is>
      </c>
      <c r="B100" s="5" t="inlineStr">
        <is>
          <t>Who is the Deputy Secretary of Defense?</t>
        </is>
      </c>
      <c r="C100" s="5" t="inlineStr">
        <is>
          <t>Deputy Secretary of Defense, DEPSECDEF</t>
        </is>
      </c>
      <c r="D100" s="4" t="n">
        <v>2</v>
      </c>
      <c r="E100" s="4" t="inlineStr">
        <is>
          <t>ROLE</t>
        </is>
      </c>
      <c r="F100" s="9" t="inlineStr">
        <is>
          <t>MEDIUM-11</t>
        </is>
      </c>
      <c r="G100" s="5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</row>
    <row r="101" ht="28.8" customHeight="1" s="17">
      <c r="A101" s="4" t="inlineStr">
        <is>
          <t>ET099</t>
        </is>
      </c>
      <c r="B101" s="5" t="inlineStr">
        <is>
          <t>What is DEPSECDEF's role?</t>
        </is>
      </c>
      <c r="C101" s="5" t="inlineStr">
        <is>
          <t>DEPSECDEF</t>
        </is>
      </c>
      <c r="D101" s="4" t="n">
        <v>1</v>
      </c>
      <c r="E101" s="4" t="inlineStr">
        <is>
          <t>ROLE, ORGANIZATION</t>
        </is>
      </c>
      <c r="F101" s="9" t="inlineStr">
        <is>
          <t>MEDIUM-11</t>
        </is>
      </c>
      <c r="G101" s="45" t="inlineStr">
        <is>
          <t>DEPSECDEF</t>
        </is>
      </c>
      <c r="H101" s="4" t="n"/>
      <c r="I101" s="4" t="n"/>
      <c r="J101" s="4" t="n"/>
      <c r="K101" s="46" t="n">
        <v>0</v>
      </c>
      <c r="L101" s="46" t="n">
        <v>0</v>
      </c>
      <c r="M101" s="46" t="n">
        <v>0</v>
      </c>
      <c r="N101" s="46" t="n">
        <v>1</v>
      </c>
      <c r="O101" s="46" t="n">
        <v>0.85</v>
      </c>
      <c r="P101" s="47" t="inlineStr">
        <is>
          <t>PARTIAL</t>
        </is>
      </c>
      <c r="Q101" s="48" t="inlineStr">
        <is>
          <t>Time: 16.27s</t>
        </is>
      </c>
    </row>
    <row r="102" ht="28.8" customHeight="1" s="17">
      <c r="A102" s="4" t="inlineStr">
        <is>
          <t>ET100</t>
        </is>
      </c>
      <c r="B102" s="5" t="inlineStr">
        <is>
          <t>How does DEPSECDEF support SC?</t>
        </is>
      </c>
      <c r="C102" s="5" t="inlineStr">
        <is>
          <t>DEPSECDEF, SC</t>
        </is>
      </c>
      <c r="D102" s="4" t="n">
        <v>2</v>
      </c>
      <c r="E102" s="4" t="inlineStr">
        <is>
          <t>ROLE, CONCEPT</t>
        </is>
      </c>
      <c r="F102" s="9" t="inlineStr">
        <is>
          <t>MEDIUM-11</t>
        </is>
      </c>
      <c r="G102" s="5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:D1"/>
    </sheetView>
  </sheetViews>
  <sheetFormatPr baseColWidth="8" defaultRowHeight="14.4"/>
  <cols>
    <col width="30" customWidth="1" style="17" min="1" max="2"/>
    <col width="15" customWidth="1" style="17" min="3" max="4"/>
  </cols>
  <sheetData>
    <row r="1" ht="18" customHeight="1" s="17">
      <c r="A1" s="21" t="inlineStr">
        <is>
          <t>TESTING SUMMARY - BY ENTITY IMPORTANCE</t>
        </is>
      </c>
    </row>
    <row r="3">
      <c r="A3" s="20" t="inlineStr">
        <is>
          <t>TOP 20 ENTITIES - IMPORTANCE RANKING</t>
        </is>
      </c>
    </row>
    <row r="4">
      <c r="A4" s="3" t="inlineStr">
        <is>
          <t>Rank</t>
        </is>
      </c>
      <c r="B4" s="3" t="inlineStr">
        <is>
          <t>Entity</t>
        </is>
      </c>
      <c r="C4" s="3" t="inlineStr">
        <is>
          <t>Mentions</t>
        </is>
      </c>
      <c r="D4" s="3" t="inlineStr">
        <is>
          <t>Test Qs</t>
        </is>
      </c>
      <c r="E4" s="3" t="inlineStr">
        <is>
          <t>Avg F1</t>
        </is>
      </c>
      <c r="F4" s="3" t="inlineStr">
        <is>
          <t>Status</t>
        </is>
      </c>
    </row>
    <row r="5">
      <c r="A5" s="10" t="n">
        <v>1</v>
      </c>
      <c r="B5" s="10" t="inlineStr">
        <is>
          <t>DSCA</t>
        </is>
      </c>
      <c r="C5" s="10" t="n">
        <v>451</v>
      </c>
      <c r="D5" s="10" t="n">
        <v>15</v>
      </c>
      <c r="E5" s="10" t="n"/>
      <c r="F5" s="11" t="inlineStr">
        <is>
          <t>CRITICAL</t>
        </is>
      </c>
    </row>
    <row r="6">
      <c r="A6" s="10" t="n">
        <v>2</v>
      </c>
      <c r="B6" s="10" t="inlineStr">
        <is>
          <t>Secretary of Defense</t>
        </is>
      </c>
      <c r="C6" s="10" t="n">
        <v>421</v>
      </c>
      <c r="D6" s="10" t="n">
        <v>15</v>
      </c>
      <c r="E6" s="10" t="n"/>
      <c r="F6" s="11" t="inlineStr">
        <is>
          <t>CRITICAL</t>
        </is>
      </c>
    </row>
    <row r="7">
      <c r="A7" s="10" t="n">
        <v>3</v>
      </c>
      <c r="B7" s="10" t="inlineStr">
        <is>
          <t>DoD</t>
        </is>
      </c>
      <c r="C7" s="10" t="n">
        <v>156</v>
      </c>
      <c r="D7" s="10" t="n">
        <v>10</v>
      </c>
      <c r="E7" s="10" t="n"/>
      <c r="F7" s="12" t="inlineStr">
        <is>
          <t>VERY HIGH</t>
        </is>
      </c>
    </row>
    <row r="8">
      <c r="A8" s="10" t="n">
        <v>4</v>
      </c>
      <c r="B8" s="10" t="inlineStr">
        <is>
          <t>Security Cooperation</t>
        </is>
      </c>
      <c r="C8" s="10" t="n">
        <v>112</v>
      </c>
      <c r="D8" s="10" t="n">
        <v>10</v>
      </c>
      <c r="E8" s="10" t="n"/>
      <c r="F8" s="12" t="inlineStr">
        <is>
          <t>VERY HIGH</t>
        </is>
      </c>
    </row>
    <row r="9">
      <c r="A9" s="10" t="n">
        <v>5</v>
      </c>
      <c r="B9" s="10" t="inlineStr">
        <is>
          <t>Security Assistance</t>
        </is>
      </c>
      <c r="C9" s="10" t="n">
        <v>87</v>
      </c>
      <c r="D9" s="10" t="n">
        <v>3</v>
      </c>
      <c r="E9" s="10" t="n"/>
      <c r="F9" s="13" t="inlineStr">
        <is>
          <t>HIGH</t>
        </is>
      </c>
    </row>
    <row r="10">
      <c r="A10" s="10" t="n">
        <v>6</v>
      </c>
      <c r="B10" s="10" t="inlineStr">
        <is>
          <t>USD(P)</t>
        </is>
      </c>
      <c r="C10" s="10" t="n">
        <v>38</v>
      </c>
      <c r="D10" s="10" t="n">
        <v>3</v>
      </c>
      <c r="E10" s="10" t="n"/>
      <c r="F10" s="13" t="inlineStr">
        <is>
          <t>HIGH</t>
        </is>
      </c>
    </row>
    <row r="11">
      <c r="A11" s="10" t="n">
        <v>7</v>
      </c>
      <c r="B11" s="10" t="inlineStr">
        <is>
          <t>Secretary of State</t>
        </is>
      </c>
      <c r="C11" s="10" t="n">
        <v>35</v>
      </c>
      <c r="D11" s="10" t="n">
        <v>3</v>
      </c>
      <c r="E11" s="10" t="n"/>
      <c r="F11" s="13" t="inlineStr">
        <is>
          <t>HIGH</t>
        </is>
      </c>
    </row>
    <row r="12">
      <c r="A12" s="10" t="n">
        <v>8</v>
      </c>
      <c r="B12" s="10" t="inlineStr">
        <is>
          <t>Department of State</t>
        </is>
      </c>
      <c r="C12" s="10" t="n">
        <v>28</v>
      </c>
      <c r="D12" s="10" t="n">
        <v>3</v>
      </c>
      <c r="E12" s="10" t="n"/>
      <c r="F12" s="13" t="inlineStr">
        <is>
          <t>HIGH</t>
        </is>
      </c>
    </row>
    <row r="13">
      <c r="A13" s="10" t="n">
        <v>9</v>
      </c>
      <c r="B13" s="10" t="inlineStr">
        <is>
          <t>FMS</t>
        </is>
      </c>
      <c r="C13" s="10" t="n">
        <v>24</v>
      </c>
      <c r="D13" s="10" t="n">
        <v>3</v>
      </c>
      <c r="E13" s="10" t="n"/>
      <c r="F13" s="13" t="inlineStr">
        <is>
          <t>HIGH</t>
        </is>
      </c>
    </row>
    <row r="14">
      <c r="A14" s="10" t="n">
        <v>10</v>
      </c>
      <c r="B14" s="10" t="inlineStr">
        <is>
          <t>Combatant Commands</t>
        </is>
      </c>
      <c r="C14" s="10" t="n">
        <v>22</v>
      </c>
      <c r="D14" s="10" t="n">
        <v>3</v>
      </c>
      <c r="E14" s="10" t="n"/>
      <c r="F14" s="13" t="inlineStr">
        <is>
          <t>HIGH</t>
        </is>
      </c>
    </row>
    <row r="15">
      <c r="A15" s="10" t="n">
        <v>11</v>
      </c>
      <c r="B15" s="10" t="inlineStr">
        <is>
          <t>USD(A&amp;S)</t>
        </is>
      </c>
      <c r="C15" s="10" t="n">
        <v>21</v>
      </c>
      <c r="D15" s="10" t="n">
        <v>3</v>
      </c>
      <c r="E15" s="10" t="n"/>
      <c r="F15" s="13" t="inlineStr">
        <is>
          <t>HIGH</t>
        </is>
      </c>
    </row>
    <row r="16">
      <c r="A16" s="10" t="n">
        <v>12</v>
      </c>
      <c r="B16" s="10" t="inlineStr">
        <is>
          <t>FAA</t>
        </is>
      </c>
      <c r="C16" s="10" t="n">
        <v>19</v>
      </c>
      <c r="D16" s="10" t="n">
        <v>3</v>
      </c>
      <c r="E16" s="10" t="n"/>
      <c r="F16" s="13" t="inlineStr">
        <is>
          <t>HIGH</t>
        </is>
      </c>
    </row>
    <row r="17">
      <c r="A17" s="10" t="n">
        <v>13</v>
      </c>
      <c r="B17" s="10" t="inlineStr">
        <is>
          <t>Military Departments</t>
        </is>
      </c>
      <c r="C17" s="10" t="n">
        <v>18</v>
      </c>
      <c r="D17" s="10" t="n">
        <v>3</v>
      </c>
      <c r="E17" s="10" t="n"/>
      <c r="F17" s="13" t="inlineStr">
        <is>
          <t>HIGH</t>
        </is>
      </c>
    </row>
    <row r="18">
      <c r="A18" s="10" t="n">
        <v>14</v>
      </c>
      <c r="B18" s="10" t="inlineStr">
        <is>
          <t>AECA</t>
        </is>
      </c>
      <c r="C18" s="10" t="n">
        <v>17</v>
      </c>
      <c r="D18" s="10" t="n">
        <v>3</v>
      </c>
      <c r="E18" s="10" t="n"/>
      <c r="F18" s="13" t="inlineStr">
        <is>
          <t>HIGH</t>
        </is>
      </c>
    </row>
    <row r="19">
      <c r="A19" s="10" t="n">
        <v>15</v>
      </c>
      <c r="B19" s="10" t="inlineStr">
        <is>
          <t>DoD Directive 5105.65</t>
        </is>
      </c>
      <c r="C19" s="10" t="n">
        <v>16</v>
      </c>
      <c r="D19" s="10" t="n">
        <v>4</v>
      </c>
      <c r="E19" s="10" t="n"/>
      <c r="F19" s="14" t="inlineStr">
        <is>
          <t>MEDIUM</t>
        </is>
      </c>
    </row>
    <row r="20">
      <c r="A20" s="10" t="n">
        <v>16</v>
      </c>
      <c r="B20" s="10" t="inlineStr">
        <is>
          <t>DoD Directive 5132.03</t>
        </is>
      </c>
      <c r="C20" s="10" t="n">
        <v>15</v>
      </c>
      <c r="D20" s="10" t="n">
        <v>4</v>
      </c>
      <c r="E20" s="10" t="n"/>
      <c r="F20" s="14" t="inlineStr">
        <is>
          <t>MEDIUM</t>
        </is>
      </c>
    </row>
    <row r="21">
      <c r="A21" s="10" t="n">
        <v>17</v>
      </c>
      <c r="B21" s="10" t="inlineStr">
        <is>
          <t>Executive Order 13637</t>
        </is>
      </c>
      <c r="C21" s="10" t="n">
        <v>14</v>
      </c>
      <c r="D21" s="10" t="n">
        <v>3</v>
      </c>
      <c r="E21" s="10" t="n"/>
      <c r="F21" s="14" t="inlineStr">
        <is>
          <t>MEDIUM</t>
        </is>
      </c>
    </row>
    <row r="22">
      <c r="A22" s="10" t="n">
        <v>18</v>
      </c>
      <c r="B22" s="10" t="inlineStr">
        <is>
          <t>Implementing Agencies</t>
        </is>
      </c>
      <c r="C22" s="10" t="n">
        <v>13</v>
      </c>
      <c r="D22" s="10" t="n">
        <v>3</v>
      </c>
      <c r="E22" s="10" t="n"/>
      <c r="F22" s="14" t="inlineStr">
        <is>
          <t>MEDIUM</t>
        </is>
      </c>
    </row>
    <row r="23">
      <c r="A23" s="10" t="n">
        <v>19</v>
      </c>
      <c r="B23" s="10" t="inlineStr">
        <is>
          <t>Joint Chiefs of Staff</t>
        </is>
      </c>
      <c r="C23" s="10" t="n">
        <v>12</v>
      </c>
      <c r="D23" s="10" t="n">
        <v>3</v>
      </c>
      <c r="E23" s="10" t="n"/>
      <c r="F23" s="14" t="inlineStr">
        <is>
          <t>MEDIUM</t>
        </is>
      </c>
    </row>
    <row r="24">
      <c r="A24" s="10" t="n">
        <v>20</v>
      </c>
      <c r="B24" s="10" t="inlineStr">
        <is>
          <t>Deputy Secretary of Defense</t>
        </is>
      </c>
      <c r="C24" s="10" t="n">
        <v>11</v>
      </c>
      <c r="D24" s="10" t="n">
        <v>3</v>
      </c>
      <c r="E24" s="10" t="n"/>
      <c r="F24" s="14" t="inlineStr">
        <is>
          <t>MEDIUM</t>
        </is>
      </c>
    </row>
    <row r="26">
      <c r="A26" s="20" t="inlineStr">
        <is>
          <t>OVERALL METRICS</t>
        </is>
      </c>
    </row>
    <row r="27">
      <c r="A27" s="10" t="inlineStr">
        <is>
          <t>Total Entities</t>
        </is>
      </c>
      <c r="B27" s="10" t="inlineStr">
        <is>
          <t>20</t>
        </is>
      </c>
      <c r="C27" s="10" t="n"/>
      <c r="D27" s="10" t="n"/>
    </row>
    <row r="28">
      <c r="A28" s="10" t="inlineStr">
        <is>
          <t>Total Mentions</t>
        </is>
      </c>
      <c r="B28" s="10" t="inlineStr">
        <is>
          <t>863</t>
        </is>
      </c>
      <c r="C28" s="10" t="n"/>
      <c r="D28" s="10" t="n"/>
    </row>
    <row r="29">
      <c r="A29" s="10" t="inlineStr">
        <is>
          <t>Total Test Questions</t>
        </is>
      </c>
      <c r="B29" s="10" t="inlineStr">
        <is>
          <t>100</t>
        </is>
      </c>
      <c r="C29" s="10" t="n"/>
      <c r="D29" s="10" t="n"/>
    </row>
    <row r="30">
      <c r="A30" s="10" t="n"/>
      <c r="B30" s="10" t="n"/>
      <c r="C30" s="10" t="n"/>
      <c r="D30" s="10" t="n"/>
    </row>
    <row r="31">
      <c r="A31" s="15" t="inlineStr">
        <is>
          <t>Average Precision</t>
        </is>
      </c>
      <c r="B31" s="15">
        <f>AVERAGE('Test Data'!K:K)</f>
        <v/>
      </c>
      <c r="C31" s="15" t="inlineStr">
        <is>
          <t>≥90%</t>
        </is>
      </c>
      <c r="D31" s="15" t="n"/>
    </row>
    <row r="32">
      <c r="A32" s="15" t="inlineStr">
        <is>
          <t>Average Recall</t>
        </is>
      </c>
      <c r="B32" s="15">
        <f>AVERAGE('Test Data'!L:L)</f>
        <v/>
      </c>
      <c r="C32" s="15" t="inlineStr">
        <is>
          <t>≥85%</t>
        </is>
      </c>
      <c r="D32" s="15" t="n"/>
    </row>
    <row r="33">
      <c r="A33" s="15" t="inlineStr">
        <is>
          <t>Average F1 Score</t>
        </is>
      </c>
      <c r="B33" s="15">
        <f>AVERAGE('Test Data'!M:M)</f>
        <v/>
      </c>
      <c r="C33" s="15" t="inlineStr">
        <is>
          <t>≥85%</t>
        </is>
      </c>
      <c r="D33" s="15" t="n"/>
    </row>
    <row r="34">
      <c r="A34" s="15" t="inlineStr">
        <is>
          <t>Hallucination Rate</t>
        </is>
      </c>
      <c r="B34" s="15">
        <f>COUNTIF('Test Data'!N:N,"YES")/COUNTA('Test Data'!N:N)</f>
        <v/>
      </c>
      <c r="C34" s="15" t="inlineStr">
        <is>
          <t>≤10%</t>
        </is>
      </c>
      <c r="D34" s="15" t="n"/>
    </row>
  </sheetData>
  <mergeCells count="3">
    <mergeCell ref="A3:F3"/>
    <mergeCell ref="A1:D1"/>
    <mergeCell ref="A26:D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2025-11-26T06:05:15Z</dcterms:created>
  <dcterms:modified xsi:type="dcterms:W3CDTF">2025-12-04T03:05:58Z</dcterms:modified>
  <cp:lastModifiedBy>Shazia Kashif</cp:lastModifiedBy>
</cp:coreProperties>
</file>